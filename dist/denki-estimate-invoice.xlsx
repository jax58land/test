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自社情報" sheetId="2" state="visible" r:id="rId2"/>
    <sheet name="見積書" sheetId="3" state="visible" r:id="rId3"/>
    <sheet name="請求書" sheetId="4" state="visible" r:id="rId4"/>
  </sheets>
  <definedNames>
    <definedName name="_xlnm.Print_Area" localSheetId="2">'見積書'!$A$1:$G$40</definedName>
    <definedName name="_xlnm.Print_Area" localSheetId="3">'請求書'!$A$1:$G$47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&quot;¥&quot;#,##0&quot;-&quot;"/>
  </numFmts>
  <fonts count="9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b val="1"/>
      <sz val="10"/>
    </font>
    <font>
      <name val="Meiryo UI"/>
      <sz val="10"/>
    </font>
    <font>
      <name val="Meiryo UI"/>
      <color rgb="00666666"/>
      <sz val="9"/>
    </font>
    <font>
      <name val="Meiryo UI"/>
      <color rgb="000000FF"/>
      <sz val="10"/>
    </font>
    <font>
      <name val="Meiryo UI"/>
      <b val="1"/>
      <sz val="18"/>
    </font>
    <font>
      <name val="Meiryo UI"/>
      <b val="1"/>
      <color rgb="00FFFFFF"/>
      <sz val="10"/>
    </font>
    <font>
      <name val="Meiryo UI"/>
      <b val="1"/>
      <sz val="16"/>
    </font>
  </fonts>
  <fills count="5">
    <fill>
      <patternFill/>
    </fill>
    <fill>
      <patternFill patternType="gray125"/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37474F"/>
      </patternFill>
    </fill>
  </fills>
  <borders count="5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0" borderId="1" pivotButton="0" quotePrefix="0" xfId="0"/>
    <xf numFmtId="0" fontId="5" fillId="2" borderId="1" pivotButton="0" quotePrefix="0" xfId="0"/>
    <xf numFmtId="9" fontId="5" fillId="2" borderId="1" pivotButton="0" quotePrefix="0" xfId="0"/>
    <xf numFmtId="0" fontId="6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2" borderId="0" pivotButton="0" quotePrefix="0" xfId="0"/>
    <xf numFmtId="164" fontId="5" fillId="2" borderId="0" pivotButton="0" quotePrefix="0" xfId="0"/>
    <xf numFmtId="164" fontId="3" fillId="3" borderId="0" pivotButton="0" quotePrefix="0" xfId="0"/>
    <xf numFmtId="0" fontId="3" fillId="3" borderId="0" pivotButton="0" quotePrefix="0" xfId="0"/>
    <xf numFmtId="165" fontId="8" fillId="3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5" fillId="2" borderId="1" pivotButton="0" quotePrefix="0" xfId="0"/>
    <xf numFmtId="3" fontId="3" fillId="3" borderId="1" pivotButton="0" quotePrefix="0" xfId="0"/>
    <xf numFmtId="0" fontId="0" fillId="0" borderId="4" pivotButton="0" quotePrefix="0" xfId="0"/>
    <xf numFmtId="3" fontId="2" fillId="3" borderId="1" pivotButton="0" quotePrefix="0" xfId="0"/>
    <xf numFmtId="0" fontId="5" fillId="2" borderId="0" applyAlignment="1" pivotButton="0" quotePrefix="0" xfId="0">
      <alignment vertical="top" wrapText="1"/>
    </xf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tool</author>
  </authors>
  <commentList>
    <comment ref="B8" authorId="0" shapeId="0">
      <text>
        <t>適格請求書発行事業者の登録番号（T＋13桁）。未登録なら空欄に</t>
      </text>
    </comment>
    <comment ref="B16" authorId="0" shapeId="0">
      <text>
        <t>電気工事は通常10%（軽減税率の対象外）</t>
      </text>
    </comment>
  </commentList>
</comments>
</file>

<file path=xl/comments/comment2.xml><?xml version="1.0" encoding="utf-8"?>
<comments xmlns="http://schemas.openxmlformats.org/spreadsheetml/2006/main">
  <authors>
    <author>tool</author>
  </authors>
  <commentList>
    <comment ref="C4" authorId="0" shapeId="0">
      <text>
        <t>工事の完了日（引渡し日）を入れてください。インボイスの記載事項です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電気工事 見積書・請求書（インボイス対応）  v1.0</t>
        </is>
      </c>
    </row>
    <row r="3">
      <c r="A3" s="2" t="inlineStr">
        <is>
          <t>■ 使い方（3ステップ）</t>
        </is>
      </c>
    </row>
    <row r="4">
      <c r="A4" s="3" t="inlineStr">
        <is>
          <t>1. 「自社情報」に屋号・登録番号・振込先を1回だけ入れる</t>
        </is>
      </c>
    </row>
    <row r="5">
      <c r="A5" s="3" t="inlineStr">
        <is>
          <t>2. 「見積書」に宛先・件名・明細を入れて印刷（またはPDF保存）</t>
        </is>
      </c>
    </row>
    <row r="6">
      <c r="A6" s="3" t="inlineStr">
        <is>
          <t>3. 工事が終わったら「請求書」の請求日・取引年月日を入れる。明細は見積書から自動で入ります。</t>
        </is>
      </c>
    </row>
    <row r="7">
      <c r="A7" s="3" t="inlineStr">
        <is>
          <t xml:space="preserve">   見積後に決まった追加・変更工事だけ、請求書の「追加・変更工事」欄に入れてください（減額はマイナスの数量で）。</t>
        </is>
      </c>
    </row>
    <row r="8">
      <c r="A8" s="3" t="inlineStr"/>
    </row>
    <row r="9">
      <c r="A9" s="2" t="inlineStr">
        <is>
          <t>■ 色の意味</t>
        </is>
      </c>
    </row>
    <row r="10">
      <c r="A10" s="3" t="inlineStr">
        <is>
          <t>・黄色セル（青字）＝入力欄 ／ 水色セル＝自動（見積書・自社情報を参照しています。上書きしないでください）</t>
        </is>
      </c>
    </row>
    <row r="11">
      <c r="A11" s="3" t="inlineStr"/>
    </row>
    <row r="12">
      <c r="A12" s="2" t="inlineStr">
        <is>
          <t>■ インボイス（適格請求書）の記載事項との対応（国税庁「適格請求書等保存方式の概要」の記載事項）</t>
        </is>
      </c>
    </row>
    <row r="13">
      <c r="A13" s="3" t="inlineStr">
        <is>
          <t>・発行者の氏名または名称・登録番号 …… 自社情報 → 請求書の右上</t>
        </is>
      </c>
    </row>
    <row r="14">
      <c r="A14" s="3" t="inlineStr">
        <is>
          <t>・取引年月日 …… 請求書の「取引年月日」（工事の完了日）</t>
        </is>
      </c>
    </row>
    <row r="15">
      <c r="A15" s="3" t="inlineStr">
        <is>
          <t>・取引内容 …… 明細の品名・工事内容</t>
        </is>
      </c>
    </row>
    <row r="16">
      <c r="A16" s="3" t="inlineStr">
        <is>
          <t>・税率ごとに区分した合計額と適用税率 …… 「10%対象 小計」</t>
        </is>
      </c>
    </row>
    <row r="17">
      <c r="A17" s="3" t="inlineStr">
        <is>
          <t>・税率ごとに区分した消費税額 …… 「消費税（10%）」（請求書1枚につき1回だけ切り捨て）</t>
        </is>
      </c>
    </row>
    <row r="18">
      <c r="A18" s="3" t="inlineStr">
        <is>
          <t>・交付を受ける事業者の名称 …… 宛先</t>
        </is>
      </c>
    </row>
    <row r="19">
      <c r="A19" s="3" t="inlineStr"/>
    </row>
    <row r="20">
      <c r="A20" s="2" t="inlineStr">
        <is>
          <t>■ 計算</t>
        </is>
      </c>
    </row>
    <row r="21">
      <c r="A21" s="3" t="inlineStr">
        <is>
          <t>・金額 = 数量 × 単価（円未満四捨五入）／ 消費税 = 小計 × 税率（円未満切り捨て、請求書1枚につき1回）</t>
        </is>
      </c>
    </row>
    <row r="22">
      <c r="A22" s="3" t="inlineStr">
        <is>
          <t>・見積の有効期限・支払期限は、自社情報の日数から自動で計算します。</t>
        </is>
      </c>
    </row>
    <row r="23">
      <c r="A23" s="3" t="inlineStr"/>
    </row>
    <row r="24">
      <c r="A24" s="3" t="inlineStr">
        <is>
          <t>【免責】本ファイルは見積書・請求書の作成を補助するテンプレートです。インボイス制度・消費税の取扱いの最終判断は、国税庁の公表資料や税理士・税務署にご確認ください。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自社情報（ここに1回入れるだけで、見積書・請求書の両方に反映されます）</t>
        </is>
      </c>
    </row>
    <row r="2">
      <c r="A2" s="4" t="inlineStr">
        <is>
          <t>黄色セル（青字）＝入力欄</t>
        </is>
      </c>
    </row>
    <row r="4">
      <c r="A4" s="5" t="inlineStr">
        <is>
          <t>屋号・会社名</t>
        </is>
      </c>
      <c r="B4" s="6" t="inlineStr">
        <is>
          <t>○○電設</t>
        </is>
      </c>
    </row>
    <row r="5">
      <c r="A5" s="5" t="inlineStr">
        <is>
          <t>担当者</t>
        </is>
      </c>
      <c r="B5" s="6" t="inlineStr">
        <is>
          <t>○○</t>
        </is>
      </c>
    </row>
    <row r="6">
      <c r="A6" s="5" t="inlineStr">
        <is>
          <t>住所</t>
        </is>
      </c>
      <c r="B6" s="6" t="inlineStr">
        <is>
          <t>○○県○○市○○ 1-2-3</t>
        </is>
      </c>
    </row>
    <row r="7">
      <c r="A7" s="5" t="inlineStr">
        <is>
          <t>電話</t>
        </is>
      </c>
      <c r="B7" s="6" t="inlineStr">
        <is>
          <t>000-0000-0000</t>
        </is>
      </c>
    </row>
    <row r="8">
      <c r="A8" s="5" t="inlineStr">
        <is>
          <t>登録番号（インボイス）</t>
        </is>
      </c>
      <c r="B8" s="6" t="inlineStr">
        <is>
          <t>T0000000000000</t>
        </is>
      </c>
    </row>
    <row r="10">
      <c r="A10" s="5" t="inlineStr">
        <is>
          <t>振込先 銀行・支店</t>
        </is>
      </c>
      <c r="B10" s="6" t="inlineStr">
        <is>
          <t>○○銀行 ○○支店</t>
        </is>
      </c>
    </row>
    <row r="11">
      <c r="A11" s="5" t="inlineStr">
        <is>
          <t>振込先 種別・口座番号</t>
        </is>
      </c>
      <c r="B11" s="6" t="inlineStr">
        <is>
          <t>普通 0000000</t>
        </is>
      </c>
    </row>
    <row r="12">
      <c r="A12" s="5" t="inlineStr">
        <is>
          <t>振込先 口座名義</t>
        </is>
      </c>
      <c r="B12" s="6" t="inlineStr">
        <is>
          <t>マルマル デンセツ</t>
        </is>
      </c>
    </row>
    <row r="14">
      <c r="A14" s="5" t="inlineStr">
        <is>
          <t>見積の有効期限（日数）</t>
        </is>
      </c>
      <c r="B14" s="6" t="n">
        <v>30</v>
      </c>
    </row>
    <row r="15">
      <c r="A15" s="5" t="inlineStr">
        <is>
          <t>支払期限（請求日から日数）</t>
        </is>
      </c>
      <c r="B15" s="6" t="n">
        <v>30</v>
      </c>
    </row>
    <row r="16">
      <c r="A16" s="5" t="inlineStr">
        <is>
          <t>消費税率</t>
        </is>
      </c>
      <c r="B16" s="7" t="n">
        <v>0.1</v>
      </c>
    </row>
    <row r="18">
      <c r="A18" s="4" t="inlineStr">
        <is>
          <t>※ 個人の方は、屋号がなければ氏名でもかまいません（実名を出したくない場合の扱いは税務署等にご確認ください）。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8" customWidth="1" min="4" max="4"/>
    <col width="7" customWidth="1" min="5" max="5"/>
    <col width="12" customWidth="1" min="6" max="6"/>
    <col width="14" customWidth="1" min="7" max="7"/>
  </cols>
  <sheetData>
    <row r="1">
      <c r="A1" s="8" t="inlineStr">
        <is>
          <t>御 見 積 書</t>
        </is>
      </c>
    </row>
    <row r="3">
      <c r="A3" s="9" t="inlineStr">
        <is>
          <t>宛先</t>
        </is>
      </c>
      <c r="B3" s="10" t="inlineStr">
        <is>
          <t>○○ 様</t>
        </is>
      </c>
      <c r="C3" s="9" t="inlineStr">
        <is>
          <t>見積日</t>
        </is>
      </c>
      <c r="D3" s="11">
        <f>TODAY()</f>
        <v/>
      </c>
    </row>
    <row r="4">
      <c r="A4" s="9" t="inlineStr">
        <is>
          <t>件名</t>
        </is>
      </c>
      <c r="B4" s="10" t="inlineStr">
        <is>
          <t>○○邸 電気設備工事</t>
        </is>
      </c>
      <c r="C4" s="9" t="inlineStr">
        <is>
          <t>有効期限</t>
        </is>
      </c>
      <c r="D4" s="12">
        <f>IF(D3="","",D3+自社情報!$B$14)</f>
        <v/>
      </c>
    </row>
    <row r="5">
      <c r="A5" s="9" t="inlineStr">
        <is>
          <t>工事場所</t>
        </is>
      </c>
      <c r="B5" s="10" t="inlineStr">
        <is>
          <t>○○市○○</t>
        </is>
      </c>
      <c r="E5" s="9" t="inlineStr">
        <is>
          <t>発行者</t>
        </is>
      </c>
      <c r="F5" s="13">
        <f>IF(自社情報!$B$4="","",自社情報!$B$4)</f>
        <v/>
      </c>
    </row>
    <row r="6">
      <c r="A6" s="9" t="inlineStr">
        <is>
          <t>見積番号</t>
        </is>
      </c>
      <c r="B6" s="10" t="inlineStr">
        <is>
          <t>M-0001</t>
        </is>
      </c>
      <c r="E6" s="9" t="inlineStr">
        <is>
          <t>担当</t>
        </is>
      </c>
      <c r="F6" s="13">
        <f>IF(自社情報!$B$5="","",自社情報!$B$5)</f>
        <v/>
      </c>
    </row>
    <row r="7">
      <c r="E7" s="9" t="inlineStr">
        <is>
          <t>住所</t>
        </is>
      </c>
      <c r="F7" s="13">
        <f>IF(自社情報!$B$6="","",自社情報!$B$6)</f>
        <v/>
      </c>
    </row>
    <row r="8">
      <c r="E8" s="9" t="inlineStr">
        <is>
          <t>電話</t>
        </is>
      </c>
      <c r="F8" s="13">
        <f>IF(自社情報!$B$7="","",自社情報!$B$7)</f>
        <v/>
      </c>
    </row>
    <row r="9">
      <c r="E9" s="9" t="inlineStr">
        <is>
          <t>登録番号</t>
        </is>
      </c>
      <c r="F9" s="13">
        <f>IF(自社情報!$B$8="","",自社情報!$B$8)</f>
        <v/>
      </c>
    </row>
    <row r="11">
      <c r="A11" s="9" t="inlineStr">
        <is>
          <t>御見積金額（税込）</t>
        </is>
      </c>
      <c r="B11" s="14">
        <f>G36</f>
        <v/>
      </c>
    </row>
    <row r="13" ht="26" customHeight="1">
      <c r="A13" s="15" t="inlineStr">
        <is>
          <t>No</t>
        </is>
      </c>
      <c r="B13" s="15" t="inlineStr">
        <is>
          <t>品名・工事内容</t>
        </is>
      </c>
      <c r="C13" s="15" t="inlineStr">
        <is>
          <t>規格・内容</t>
        </is>
      </c>
      <c r="D13" s="15" t="inlineStr">
        <is>
          <t>数量</t>
        </is>
      </c>
      <c r="E13" s="15" t="inlineStr">
        <is>
          <t>単位</t>
        </is>
      </c>
      <c r="F13" s="15" t="inlineStr">
        <is>
          <t>単価</t>
        </is>
      </c>
      <c r="G13" s="15" t="inlineStr">
        <is>
          <t>金額</t>
        </is>
      </c>
    </row>
    <row r="14">
      <c r="A14" s="16" t="n">
        <v>1</v>
      </c>
      <c r="B14" s="6" t="inlineStr">
        <is>
          <t>分電盤交換</t>
        </is>
      </c>
      <c r="C14" s="6" t="inlineStr">
        <is>
          <t>主幹50A 16回路</t>
        </is>
      </c>
      <c r="D14" s="6" t="n">
        <v>1</v>
      </c>
      <c r="E14" s="6" t="inlineStr">
        <is>
          <t>台</t>
        </is>
      </c>
      <c r="F14" s="17" t="n">
        <v>48000</v>
      </c>
      <c r="G14" s="18">
        <f>IF(OR(D14="",F14=""),"",ROUND(D14*F14,0))</f>
        <v/>
      </c>
    </row>
    <row r="15">
      <c r="A15" s="16" t="n">
        <v>2</v>
      </c>
      <c r="B15" s="6" t="inlineStr">
        <is>
          <t>エアコン専用回路増設</t>
        </is>
      </c>
      <c r="C15" s="6" t="inlineStr">
        <is>
          <t>VVF2.0-3C 15m程度</t>
        </is>
      </c>
      <c r="D15" s="6" t="n">
        <v>2</v>
      </c>
      <c r="E15" s="6" t="inlineStr">
        <is>
          <t>回路</t>
        </is>
      </c>
      <c r="F15" s="17" t="n">
        <v>18000</v>
      </c>
      <c r="G15" s="18">
        <f>IF(OR(D15="",F15=""),"",ROUND(D15*F15,0))</f>
        <v/>
      </c>
    </row>
    <row r="16">
      <c r="A16" s="16" t="n">
        <v>3</v>
      </c>
      <c r="B16" s="6" t="inlineStr">
        <is>
          <t>コンセント増設</t>
        </is>
      </c>
      <c r="C16" s="6" t="inlineStr">
        <is>
          <t>2口 接地付</t>
        </is>
      </c>
      <c r="D16" s="6" t="n">
        <v>3</v>
      </c>
      <c r="E16" s="6" t="inlineStr">
        <is>
          <t>箇所</t>
        </is>
      </c>
      <c r="F16" s="17" t="n">
        <v>6500</v>
      </c>
      <c r="G16" s="18">
        <f>IF(OR(D16="",F16=""),"",ROUND(D16*F16,0))</f>
        <v/>
      </c>
    </row>
    <row r="17">
      <c r="A17" s="16" t="n">
        <v>4</v>
      </c>
      <c r="B17" s="6" t="inlineStr">
        <is>
          <t>材料・消耗品</t>
        </is>
      </c>
      <c r="C17" s="6" t="inlineStr"/>
      <c r="D17" s="6" t="n">
        <v>1</v>
      </c>
      <c r="E17" s="6" t="inlineStr">
        <is>
          <t>式</t>
        </is>
      </c>
      <c r="F17" s="17" t="n">
        <v>9800</v>
      </c>
      <c r="G17" s="18">
        <f>IF(OR(D17="",F17=""),"",ROUND(D17*F17,0))</f>
        <v/>
      </c>
    </row>
    <row r="18">
      <c r="A18" s="16" t="n">
        <v>5</v>
      </c>
      <c r="B18" s="6" t="inlineStr">
        <is>
          <t>諸経費</t>
        </is>
      </c>
      <c r="C18" s="6" t="inlineStr"/>
      <c r="D18" s="6" t="n">
        <v>1</v>
      </c>
      <c r="E18" s="6" t="inlineStr">
        <is>
          <t>式</t>
        </is>
      </c>
      <c r="F18" s="17" t="n">
        <v>8000</v>
      </c>
      <c r="G18" s="18">
        <f>IF(OR(D18="",F18=""),"",ROUND(D18*F18,0))</f>
        <v/>
      </c>
    </row>
    <row r="19">
      <c r="A19" s="16" t="n">
        <v>6</v>
      </c>
      <c r="B19" s="6" t="n"/>
      <c r="C19" s="6" t="n"/>
      <c r="D19" s="6" t="n"/>
      <c r="E19" s="6" t="n"/>
      <c r="F19" s="17" t="n"/>
      <c r="G19" s="18">
        <f>IF(OR(D19="",F19=""),"",ROUND(D19*F19,0))</f>
        <v/>
      </c>
    </row>
    <row r="20">
      <c r="A20" s="16" t="n">
        <v>7</v>
      </c>
      <c r="B20" s="6" t="n"/>
      <c r="C20" s="6" t="n"/>
      <c r="D20" s="6" t="n"/>
      <c r="E20" s="6" t="n"/>
      <c r="F20" s="17" t="n"/>
      <c r="G20" s="18">
        <f>IF(OR(D20="",F20=""),"",ROUND(D20*F20,0))</f>
        <v/>
      </c>
    </row>
    <row r="21">
      <c r="A21" s="16" t="n">
        <v>8</v>
      </c>
      <c r="B21" s="6" t="n"/>
      <c r="C21" s="6" t="n"/>
      <c r="D21" s="6" t="n"/>
      <c r="E21" s="6" t="n"/>
      <c r="F21" s="17" t="n"/>
      <c r="G21" s="18">
        <f>IF(OR(D21="",F21=""),"",ROUND(D21*F21,0))</f>
        <v/>
      </c>
    </row>
    <row r="22">
      <c r="A22" s="16" t="n">
        <v>9</v>
      </c>
      <c r="B22" s="6" t="n"/>
      <c r="C22" s="6" t="n"/>
      <c r="D22" s="6" t="n"/>
      <c r="E22" s="6" t="n"/>
      <c r="F22" s="17" t="n"/>
      <c r="G22" s="18">
        <f>IF(OR(D22="",F22=""),"",ROUND(D22*F22,0))</f>
        <v/>
      </c>
    </row>
    <row r="23">
      <c r="A23" s="16" t="n">
        <v>10</v>
      </c>
      <c r="B23" s="6" t="n"/>
      <c r="C23" s="6" t="n"/>
      <c r="D23" s="6" t="n"/>
      <c r="E23" s="6" t="n"/>
      <c r="F23" s="17" t="n"/>
      <c r="G23" s="18">
        <f>IF(OR(D23="",F23=""),"",ROUND(D23*F23,0))</f>
        <v/>
      </c>
    </row>
    <row r="24">
      <c r="A24" s="16" t="n">
        <v>11</v>
      </c>
      <c r="B24" s="6" t="n"/>
      <c r="C24" s="6" t="n"/>
      <c r="D24" s="6" t="n"/>
      <c r="E24" s="6" t="n"/>
      <c r="F24" s="17" t="n"/>
      <c r="G24" s="18">
        <f>IF(OR(D24="",F24=""),"",ROUND(D24*F24,0))</f>
        <v/>
      </c>
    </row>
    <row r="25">
      <c r="A25" s="16" t="n">
        <v>12</v>
      </c>
      <c r="B25" s="6" t="n"/>
      <c r="C25" s="6" t="n"/>
      <c r="D25" s="6" t="n"/>
      <c r="E25" s="6" t="n"/>
      <c r="F25" s="17" t="n"/>
      <c r="G25" s="18">
        <f>IF(OR(D25="",F25=""),"",ROUND(D25*F25,0))</f>
        <v/>
      </c>
    </row>
    <row r="26">
      <c r="A26" s="16" t="n">
        <v>13</v>
      </c>
      <c r="B26" s="6" t="n"/>
      <c r="C26" s="6" t="n"/>
      <c r="D26" s="6" t="n"/>
      <c r="E26" s="6" t="n"/>
      <c r="F26" s="17" t="n"/>
      <c r="G26" s="18">
        <f>IF(OR(D26="",F26=""),"",ROUND(D26*F26,0))</f>
        <v/>
      </c>
    </row>
    <row r="27">
      <c r="A27" s="16" t="n">
        <v>14</v>
      </c>
      <c r="B27" s="6" t="n"/>
      <c r="C27" s="6" t="n"/>
      <c r="D27" s="6" t="n"/>
      <c r="E27" s="6" t="n"/>
      <c r="F27" s="17" t="n"/>
      <c r="G27" s="18">
        <f>IF(OR(D27="",F27=""),"",ROUND(D27*F27,0))</f>
        <v/>
      </c>
    </row>
    <row r="28">
      <c r="A28" s="16" t="n">
        <v>15</v>
      </c>
      <c r="B28" s="6" t="n"/>
      <c r="C28" s="6" t="n"/>
      <c r="D28" s="6" t="n"/>
      <c r="E28" s="6" t="n"/>
      <c r="F28" s="17" t="n"/>
      <c r="G28" s="18">
        <f>IF(OR(D28="",F28=""),"",ROUND(D28*F28,0))</f>
        <v/>
      </c>
    </row>
    <row r="29">
      <c r="A29" s="16" t="n">
        <v>16</v>
      </c>
      <c r="B29" s="6" t="n"/>
      <c r="C29" s="6" t="n"/>
      <c r="D29" s="6" t="n"/>
      <c r="E29" s="6" t="n"/>
      <c r="F29" s="17" t="n"/>
      <c r="G29" s="18">
        <f>IF(OR(D29="",F29=""),"",ROUND(D29*F29,0))</f>
        <v/>
      </c>
    </row>
    <row r="30">
      <c r="A30" s="16" t="n">
        <v>17</v>
      </c>
      <c r="B30" s="6" t="n"/>
      <c r="C30" s="6" t="n"/>
      <c r="D30" s="6" t="n"/>
      <c r="E30" s="6" t="n"/>
      <c r="F30" s="17" t="n"/>
      <c r="G30" s="18">
        <f>IF(OR(D30="",F30=""),"",ROUND(D30*F30,0))</f>
        <v/>
      </c>
    </row>
    <row r="31">
      <c r="A31" s="16" t="n">
        <v>18</v>
      </c>
      <c r="B31" s="6" t="n"/>
      <c r="C31" s="6" t="n"/>
      <c r="D31" s="6" t="n"/>
      <c r="E31" s="6" t="n"/>
      <c r="F31" s="17" t="n"/>
      <c r="G31" s="18">
        <f>IF(OR(D31="",F31=""),"",ROUND(D31*F31,0))</f>
        <v/>
      </c>
    </row>
    <row r="32">
      <c r="A32" s="16" t="n">
        <v>19</v>
      </c>
      <c r="B32" s="6" t="n"/>
      <c r="C32" s="6" t="n"/>
      <c r="D32" s="6" t="n"/>
      <c r="E32" s="6" t="n"/>
      <c r="F32" s="17" t="n"/>
      <c r="G32" s="18">
        <f>IF(OR(D32="",F32=""),"",ROUND(D32*F32,0))</f>
        <v/>
      </c>
    </row>
    <row r="33">
      <c r="A33" s="16" t="n">
        <v>20</v>
      </c>
      <c r="B33" s="6" t="n"/>
      <c r="C33" s="6" t="n"/>
      <c r="D33" s="6" t="n"/>
      <c r="E33" s="6" t="n"/>
      <c r="F33" s="17" t="n"/>
      <c r="G33" s="18">
        <f>IF(OR(D33="",F33=""),"",ROUND(D33*F33,0))</f>
        <v/>
      </c>
    </row>
    <row r="34">
      <c r="E34" s="5" t="inlineStr">
        <is>
          <t>10%対象 小計</t>
        </is>
      </c>
      <c r="F34" s="19" t="n"/>
      <c r="G34" s="20">
        <f>SUM(G14:G33)</f>
        <v/>
      </c>
    </row>
    <row r="35">
      <c r="E35" s="5" t="inlineStr">
        <is>
          <t>消費税（10%）</t>
        </is>
      </c>
      <c r="F35" s="19" t="n"/>
      <c r="G35" s="20">
        <f>IF(N(自社情報!$B$16)&lt;=0,"税率未入力",ROUNDDOWN(G34*自社情報!$B$16,0))</f>
        <v/>
      </c>
    </row>
    <row r="36">
      <c r="E36" s="5" t="inlineStr">
        <is>
          <t>合計（税込）</t>
        </is>
      </c>
      <c r="F36" s="19" t="n"/>
      <c r="G36" s="20">
        <f>IF(ISNUMBER(G35),G34+G35,"税率未入力")</f>
        <v/>
      </c>
    </row>
    <row r="38">
      <c r="A38" s="9" t="inlineStr">
        <is>
          <t>備考</t>
        </is>
      </c>
      <c r="B38" s="21" t="inlineStr">
        <is>
          <t>・既設配線の不良等により追加工事が必要な場合は、事前にご相談のうえ別途お見積りいたします。</t>
        </is>
      </c>
    </row>
    <row r="39"/>
    <row r="40"/>
  </sheetData>
  <mergeCells count="10">
    <mergeCell ref="E34:F34"/>
    <mergeCell ref="E35:F35"/>
    <mergeCell ref="A1:G1"/>
    <mergeCell ref="F5:G5"/>
    <mergeCell ref="F6:G6"/>
    <mergeCell ref="E36:F36"/>
    <mergeCell ref="B38:G40"/>
    <mergeCell ref="F9:G9"/>
    <mergeCell ref="F7:G7"/>
    <mergeCell ref="F8:G8"/>
  </mergeCells>
  <pageMargins left="0.75" right="0.75" top="1" bottom="1" header="0.5" footer="0.5"/>
  <pageSetup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4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8" customWidth="1" min="4" max="4"/>
    <col width="7" customWidth="1" min="5" max="5"/>
    <col width="12" customWidth="1" min="6" max="6"/>
    <col width="14" customWidth="1" min="7" max="7"/>
  </cols>
  <sheetData>
    <row r="1">
      <c r="A1" s="8" t="inlineStr">
        <is>
          <t>請 求 書</t>
        </is>
      </c>
    </row>
    <row r="3">
      <c r="A3" s="9" t="inlineStr">
        <is>
          <t>宛先</t>
        </is>
      </c>
      <c r="B3" s="13">
        <f>見積書!B3</f>
        <v/>
      </c>
      <c r="C3" s="9" t="inlineStr">
        <is>
          <t>請求日</t>
        </is>
      </c>
      <c r="D3" s="11">
        <f>TODAY()</f>
        <v/>
      </c>
    </row>
    <row r="4">
      <c r="A4" s="9" t="inlineStr">
        <is>
          <t>件名</t>
        </is>
      </c>
      <c r="B4" s="13">
        <f>見積書!B4</f>
        <v/>
      </c>
      <c r="C4" s="9" t="inlineStr">
        <is>
          <t>取引年月日</t>
        </is>
      </c>
      <c r="D4" s="11" t="n"/>
    </row>
    <row r="5">
      <c r="A5" s="9" t="inlineStr">
        <is>
          <t>工事場所</t>
        </is>
      </c>
      <c r="B5" s="13">
        <f>見積書!B5</f>
        <v/>
      </c>
      <c r="C5" s="9" t="inlineStr">
        <is>
          <t>お支払期限</t>
        </is>
      </c>
      <c r="D5" s="12">
        <f>IF(D3="","",D3+自社情報!$B$15)</f>
        <v/>
      </c>
      <c r="E5" s="9" t="inlineStr">
        <is>
          <t>発行者</t>
        </is>
      </c>
      <c r="F5" s="13">
        <f>IF(自社情報!$B$4="","",自社情報!$B$4)</f>
        <v/>
      </c>
    </row>
    <row r="6">
      <c r="A6" s="9" t="inlineStr">
        <is>
          <t>請求番号</t>
        </is>
      </c>
      <c r="B6" s="10" t="inlineStr">
        <is>
          <t>S-0001</t>
        </is>
      </c>
      <c r="E6" s="9" t="inlineStr">
        <is>
          <t>担当</t>
        </is>
      </c>
      <c r="F6" s="13">
        <f>IF(自社情報!$B$5="","",自社情報!$B$5)</f>
        <v/>
      </c>
    </row>
    <row r="7">
      <c r="E7" s="9" t="inlineStr">
        <is>
          <t>住所</t>
        </is>
      </c>
      <c r="F7" s="13">
        <f>IF(自社情報!$B$6="","",自社情報!$B$6)</f>
        <v/>
      </c>
    </row>
    <row r="8">
      <c r="E8" s="9" t="inlineStr">
        <is>
          <t>電話</t>
        </is>
      </c>
      <c r="F8" s="13">
        <f>IF(自社情報!$B$7="","",自社情報!$B$7)</f>
        <v/>
      </c>
    </row>
    <row r="9">
      <c r="E9" s="9" t="inlineStr">
        <is>
          <t>登録番号</t>
        </is>
      </c>
      <c r="F9" s="13">
        <f>IF(自社情報!$B$8="","",自社情報!$B$8)</f>
        <v/>
      </c>
    </row>
    <row r="11">
      <c r="A11" s="9" t="inlineStr">
        <is>
          <t>ご請求金額（税込）</t>
        </is>
      </c>
      <c r="B11" s="14">
        <f>G42</f>
        <v/>
      </c>
    </row>
    <row r="13" ht="26" customHeight="1">
      <c r="A13" s="15" t="inlineStr">
        <is>
          <t>No</t>
        </is>
      </c>
      <c r="B13" s="15" t="inlineStr">
        <is>
          <t>品名・工事内容</t>
        </is>
      </c>
      <c r="C13" s="15" t="inlineStr">
        <is>
          <t>規格・内容</t>
        </is>
      </c>
      <c r="D13" s="15" t="inlineStr">
        <is>
          <t>数量</t>
        </is>
      </c>
      <c r="E13" s="15" t="inlineStr">
        <is>
          <t>単位</t>
        </is>
      </c>
      <c r="F13" s="15" t="inlineStr">
        <is>
          <t>単価</t>
        </is>
      </c>
      <c r="G13" s="15" t="inlineStr">
        <is>
          <t>金額</t>
        </is>
      </c>
    </row>
    <row r="14">
      <c r="A14" s="16" t="n">
        <v>1</v>
      </c>
      <c r="B14" s="22">
        <f>IF(見積書!B14="","",見積書!B14)</f>
        <v/>
      </c>
      <c r="C14" s="22">
        <f>IF(見積書!C14="","",見積書!C14)</f>
        <v/>
      </c>
      <c r="D14" s="22">
        <f>IF(見積書!D14="","",見積書!D14)</f>
        <v/>
      </c>
      <c r="E14" s="22">
        <f>IF(見積書!E14="","",見積書!E14)</f>
        <v/>
      </c>
      <c r="F14" s="18">
        <f>IF(見積書!F14="","",見積書!F14)</f>
        <v/>
      </c>
      <c r="G14" s="18">
        <f>IF(OR(D14="",F14=""),"",ROUND(D14*F14,0))</f>
        <v/>
      </c>
    </row>
    <row r="15">
      <c r="A15" s="16" t="n">
        <v>2</v>
      </c>
      <c r="B15" s="22">
        <f>IF(見積書!B15="","",見積書!B15)</f>
        <v/>
      </c>
      <c r="C15" s="22">
        <f>IF(見積書!C15="","",見積書!C15)</f>
        <v/>
      </c>
      <c r="D15" s="22">
        <f>IF(見積書!D15="","",見積書!D15)</f>
        <v/>
      </c>
      <c r="E15" s="22">
        <f>IF(見積書!E15="","",見積書!E15)</f>
        <v/>
      </c>
      <c r="F15" s="18">
        <f>IF(見積書!F15="","",見積書!F15)</f>
        <v/>
      </c>
      <c r="G15" s="18">
        <f>IF(OR(D15="",F15=""),"",ROUND(D15*F15,0))</f>
        <v/>
      </c>
    </row>
    <row r="16">
      <c r="A16" s="16" t="n">
        <v>3</v>
      </c>
      <c r="B16" s="22">
        <f>IF(見積書!B16="","",見積書!B16)</f>
        <v/>
      </c>
      <c r="C16" s="22">
        <f>IF(見積書!C16="","",見積書!C16)</f>
        <v/>
      </c>
      <c r="D16" s="22">
        <f>IF(見積書!D16="","",見積書!D16)</f>
        <v/>
      </c>
      <c r="E16" s="22">
        <f>IF(見積書!E16="","",見積書!E16)</f>
        <v/>
      </c>
      <c r="F16" s="18">
        <f>IF(見積書!F16="","",見積書!F16)</f>
        <v/>
      </c>
      <c r="G16" s="18">
        <f>IF(OR(D16="",F16=""),"",ROUND(D16*F16,0))</f>
        <v/>
      </c>
    </row>
    <row r="17">
      <c r="A17" s="16" t="n">
        <v>4</v>
      </c>
      <c r="B17" s="22">
        <f>IF(見積書!B17="","",見積書!B17)</f>
        <v/>
      </c>
      <c r="C17" s="22">
        <f>IF(見積書!C17="","",見積書!C17)</f>
        <v/>
      </c>
      <c r="D17" s="22">
        <f>IF(見積書!D17="","",見積書!D17)</f>
        <v/>
      </c>
      <c r="E17" s="22">
        <f>IF(見積書!E17="","",見積書!E17)</f>
        <v/>
      </c>
      <c r="F17" s="18">
        <f>IF(見積書!F17="","",見積書!F17)</f>
        <v/>
      </c>
      <c r="G17" s="18">
        <f>IF(OR(D17="",F17=""),"",ROUND(D17*F17,0))</f>
        <v/>
      </c>
    </row>
    <row r="18">
      <c r="A18" s="16" t="n">
        <v>5</v>
      </c>
      <c r="B18" s="22">
        <f>IF(見積書!B18="","",見積書!B18)</f>
        <v/>
      </c>
      <c r="C18" s="22">
        <f>IF(見積書!C18="","",見積書!C18)</f>
        <v/>
      </c>
      <c r="D18" s="22">
        <f>IF(見積書!D18="","",見積書!D18)</f>
        <v/>
      </c>
      <c r="E18" s="22">
        <f>IF(見積書!E18="","",見積書!E18)</f>
        <v/>
      </c>
      <c r="F18" s="18">
        <f>IF(見積書!F18="","",見積書!F18)</f>
        <v/>
      </c>
      <c r="G18" s="18">
        <f>IF(OR(D18="",F18=""),"",ROUND(D18*F18,0))</f>
        <v/>
      </c>
    </row>
    <row r="19">
      <c r="A19" s="16" t="n">
        <v>6</v>
      </c>
      <c r="B19" s="22">
        <f>IF(見積書!B19="","",見積書!B19)</f>
        <v/>
      </c>
      <c r="C19" s="22">
        <f>IF(見積書!C19="","",見積書!C19)</f>
        <v/>
      </c>
      <c r="D19" s="22">
        <f>IF(見積書!D19="","",見積書!D19)</f>
        <v/>
      </c>
      <c r="E19" s="22">
        <f>IF(見積書!E19="","",見積書!E19)</f>
        <v/>
      </c>
      <c r="F19" s="18">
        <f>IF(見積書!F19="","",見積書!F19)</f>
        <v/>
      </c>
      <c r="G19" s="18">
        <f>IF(OR(D19="",F19=""),"",ROUND(D19*F19,0))</f>
        <v/>
      </c>
    </row>
    <row r="20">
      <c r="A20" s="16" t="n">
        <v>7</v>
      </c>
      <c r="B20" s="22">
        <f>IF(見積書!B20="","",見積書!B20)</f>
        <v/>
      </c>
      <c r="C20" s="22">
        <f>IF(見積書!C20="","",見積書!C20)</f>
        <v/>
      </c>
      <c r="D20" s="22">
        <f>IF(見積書!D20="","",見積書!D20)</f>
        <v/>
      </c>
      <c r="E20" s="22">
        <f>IF(見積書!E20="","",見積書!E20)</f>
        <v/>
      </c>
      <c r="F20" s="18">
        <f>IF(見積書!F20="","",見積書!F20)</f>
        <v/>
      </c>
      <c r="G20" s="18">
        <f>IF(OR(D20="",F20=""),"",ROUND(D20*F20,0))</f>
        <v/>
      </c>
    </row>
    <row r="21">
      <c r="A21" s="16" t="n">
        <v>8</v>
      </c>
      <c r="B21" s="22">
        <f>IF(見積書!B21="","",見積書!B21)</f>
        <v/>
      </c>
      <c r="C21" s="22">
        <f>IF(見積書!C21="","",見積書!C21)</f>
        <v/>
      </c>
      <c r="D21" s="22">
        <f>IF(見積書!D21="","",見積書!D21)</f>
        <v/>
      </c>
      <c r="E21" s="22">
        <f>IF(見積書!E21="","",見積書!E21)</f>
        <v/>
      </c>
      <c r="F21" s="18">
        <f>IF(見積書!F21="","",見積書!F21)</f>
        <v/>
      </c>
      <c r="G21" s="18">
        <f>IF(OR(D21="",F21=""),"",ROUND(D21*F21,0))</f>
        <v/>
      </c>
    </row>
    <row r="22">
      <c r="A22" s="16" t="n">
        <v>9</v>
      </c>
      <c r="B22" s="22">
        <f>IF(見積書!B22="","",見積書!B22)</f>
        <v/>
      </c>
      <c r="C22" s="22">
        <f>IF(見積書!C22="","",見積書!C22)</f>
        <v/>
      </c>
      <c r="D22" s="22">
        <f>IF(見積書!D22="","",見積書!D22)</f>
        <v/>
      </c>
      <c r="E22" s="22">
        <f>IF(見積書!E22="","",見積書!E22)</f>
        <v/>
      </c>
      <c r="F22" s="18">
        <f>IF(見積書!F22="","",見積書!F22)</f>
        <v/>
      </c>
      <c r="G22" s="18">
        <f>IF(OR(D22="",F22=""),"",ROUND(D22*F22,0))</f>
        <v/>
      </c>
    </row>
    <row r="23">
      <c r="A23" s="16" t="n">
        <v>10</v>
      </c>
      <c r="B23" s="22">
        <f>IF(見積書!B23="","",見積書!B23)</f>
        <v/>
      </c>
      <c r="C23" s="22">
        <f>IF(見積書!C23="","",見積書!C23)</f>
        <v/>
      </c>
      <c r="D23" s="22">
        <f>IF(見積書!D23="","",見積書!D23)</f>
        <v/>
      </c>
      <c r="E23" s="22">
        <f>IF(見積書!E23="","",見積書!E23)</f>
        <v/>
      </c>
      <c r="F23" s="18">
        <f>IF(見積書!F23="","",見積書!F23)</f>
        <v/>
      </c>
      <c r="G23" s="18">
        <f>IF(OR(D23="",F23=""),"",ROUND(D23*F23,0))</f>
        <v/>
      </c>
    </row>
    <row r="24">
      <c r="A24" s="16" t="n">
        <v>11</v>
      </c>
      <c r="B24" s="22">
        <f>IF(見積書!B24="","",見積書!B24)</f>
        <v/>
      </c>
      <c r="C24" s="22">
        <f>IF(見積書!C24="","",見積書!C24)</f>
        <v/>
      </c>
      <c r="D24" s="22">
        <f>IF(見積書!D24="","",見積書!D24)</f>
        <v/>
      </c>
      <c r="E24" s="22">
        <f>IF(見積書!E24="","",見積書!E24)</f>
        <v/>
      </c>
      <c r="F24" s="18">
        <f>IF(見積書!F24="","",見積書!F24)</f>
        <v/>
      </c>
      <c r="G24" s="18">
        <f>IF(OR(D24="",F24=""),"",ROUND(D24*F24,0))</f>
        <v/>
      </c>
    </row>
    <row r="25">
      <c r="A25" s="16" t="n">
        <v>12</v>
      </c>
      <c r="B25" s="22">
        <f>IF(見積書!B25="","",見積書!B25)</f>
        <v/>
      </c>
      <c r="C25" s="22">
        <f>IF(見積書!C25="","",見積書!C25)</f>
        <v/>
      </c>
      <c r="D25" s="22">
        <f>IF(見積書!D25="","",見積書!D25)</f>
        <v/>
      </c>
      <c r="E25" s="22">
        <f>IF(見積書!E25="","",見積書!E25)</f>
        <v/>
      </c>
      <c r="F25" s="18">
        <f>IF(見積書!F25="","",見積書!F25)</f>
        <v/>
      </c>
      <c r="G25" s="18">
        <f>IF(OR(D25="",F25=""),"",ROUND(D25*F25,0))</f>
        <v/>
      </c>
    </row>
    <row r="26">
      <c r="A26" s="16" t="n">
        <v>13</v>
      </c>
      <c r="B26" s="22">
        <f>IF(見積書!B26="","",見積書!B26)</f>
        <v/>
      </c>
      <c r="C26" s="22">
        <f>IF(見積書!C26="","",見積書!C26)</f>
        <v/>
      </c>
      <c r="D26" s="22">
        <f>IF(見積書!D26="","",見積書!D26)</f>
        <v/>
      </c>
      <c r="E26" s="22">
        <f>IF(見積書!E26="","",見積書!E26)</f>
        <v/>
      </c>
      <c r="F26" s="18">
        <f>IF(見積書!F26="","",見積書!F26)</f>
        <v/>
      </c>
      <c r="G26" s="18">
        <f>IF(OR(D26="",F26=""),"",ROUND(D26*F26,0))</f>
        <v/>
      </c>
    </row>
    <row r="27">
      <c r="A27" s="16" t="n">
        <v>14</v>
      </c>
      <c r="B27" s="22">
        <f>IF(見積書!B27="","",見積書!B27)</f>
        <v/>
      </c>
      <c r="C27" s="22">
        <f>IF(見積書!C27="","",見積書!C27)</f>
        <v/>
      </c>
      <c r="D27" s="22">
        <f>IF(見積書!D27="","",見積書!D27)</f>
        <v/>
      </c>
      <c r="E27" s="22">
        <f>IF(見積書!E27="","",見積書!E27)</f>
        <v/>
      </c>
      <c r="F27" s="18">
        <f>IF(見積書!F27="","",見積書!F27)</f>
        <v/>
      </c>
      <c r="G27" s="18">
        <f>IF(OR(D27="",F27=""),"",ROUND(D27*F27,0))</f>
        <v/>
      </c>
    </row>
    <row r="28">
      <c r="A28" s="16" t="n">
        <v>15</v>
      </c>
      <c r="B28" s="22">
        <f>IF(見積書!B28="","",見積書!B28)</f>
        <v/>
      </c>
      <c r="C28" s="22">
        <f>IF(見積書!C28="","",見積書!C28)</f>
        <v/>
      </c>
      <c r="D28" s="22">
        <f>IF(見積書!D28="","",見積書!D28)</f>
        <v/>
      </c>
      <c r="E28" s="22">
        <f>IF(見積書!E28="","",見積書!E28)</f>
        <v/>
      </c>
      <c r="F28" s="18">
        <f>IF(見積書!F28="","",見積書!F28)</f>
        <v/>
      </c>
      <c r="G28" s="18">
        <f>IF(OR(D28="",F28=""),"",ROUND(D28*F28,0))</f>
        <v/>
      </c>
    </row>
    <row r="29">
      <c r="A29" s="16" t="n">
        <v>16</v>
      </c>
      <c r="B29" s="22">
        <f>IF(見積書!B29="","",見積書!B29)</f>
        <v/>
      </c>
      <c r="C29" s="22">
        <f>IF(見積書!C29="","",見積書!C29)</f>
        <v/>
      </c>
      <c r="D29" s="22">
        <f>IF(見積書!D29="","",見積書!D29)</f>
        <v/>
      </c>
      <c r="E29" s="22">
        <f>IF(見積書!E29="","",見積書!E29)</f>
        <v/>
      </c>
      <c r="F29" s="18">
        <f>IF(見積書!F29="","",見積書!F29)</f>
        <v/>
      </c>
      <c r="G29" s="18">
        <f>IF(OR(D29="",F29=""),"",ROUND(D29*F29,0))</f>
        <v/>
      </c>
    </row>
    <row r="30">
      <c r="A30" s="16" t="n">
        <v>17</v>
      </c>
      <c r="B30" s="22">
        <f>IF(見積書!B30="","",見積書!B30)</f>
        <v/>
      </c>
      <c r="C30" s="22">
        <f>IF(見積書!C30="","",見積書!C30)</f>
        <v/>
      </c>
      <c r="D30" s="22">
        <f>IF(見積書!D30="","",見積書!D30)</f>
        <v/>
      </c>
      <c r="E30" s="22">
        <f>IF(見積書!E30="","",見積書!E30)</f>
        <v/>
      </c>
      <c r="F30" s="18">
        <f>IF(見積書!F30="","",見積書!F30)</f>
        <v/>
      </c>
      <c r="G30" s="18">
        <f>IF(OR(D30="",F30=""),"",ROUND(D30*F30,0))</f>
        <v/>
      </c>
    </row>
    <row r="31">
      <c r="A31" s="16" t="n">
        <v>18</v>
      </c>
      <c r="B31" s="22">
        <f>IF(見積書!B31="","",見積書!B31)</f>
        <v/>
      </c>
      <c r="C31" s="22">
        <f>IF(見積書!C31="","",見積書!C31)</f>
        <v/>
      </c>
      <c r="D31" s="22">
        <f>IF(見積書!D31="","",見積書!D31)</f>
        <v/>
      </c>
      <c r="E31" s="22">
        <f>IF(見積書!E31="","",見積書!E31)</f>
        <v/>
      </c>
      <c r="F31" s="18">
        <f>IF(見積書!F31="","",見積書!F31)</f>
        <v/>
      </c>
      <c r="G31" s="18">
        <f>IF(OR(D31="",F31=""),"",ROUND(D31*F31,0))</f>
        <v/>
      </c>
    </row>
    <row r="32">
      <c r="A32" s="16" t="n">
        <v>19</v>
      </c>
      <c r="B32" s="22">
        <f>IF(見積書!B32="","",見積書!B32)</f>
        <v/>
      </c>
      <c r="C32" s="22">
        <f>IF(見積書!C32="","",見積書!C32)</f>
        <v/>
      </c>
      <c r="D32" s="22">
        <f>IF(見積書!D32="","",見積書!D32)</f>
        <v/>
      </c>
      <c r="E32" s="22">
        <f>IF(見積書!E32="","",見積書!E32)</f>
        <v/>
      </c>
      <c r="F32" s="18">
        <f>IF(見積書!F32="","",見積書!F32)</f>
        <v/>
      </c>
      <c r="G32" s="18">
        <f>IF(OR(D32="",F32=""),"",ROUND(D32*F32,0))</f>
        <v/>
      </c>
    </row>
    <row r="33">
      <c r="A33" s="16" t="n">
        <v>20</v>
      </c>
      <c r="B33" s="22">
        <f>IF(見積書!B33="","",見積書!B33)</f>
        <v/>
      </c>
      <c r="C33" s="22">
        <f>IF(見積書!C33="","",見積書!C33)</f>
        <v/>
      </c>
      <c r="D33" s="22">
        <f>IF(見積書!D33="","",見積書!D33)</f>
        <v/>
      </c>
      <c r="E33" s="22">
        <f>IF(見積書!E33="","",見積書!E33)</f>
        <v/>
      </c>
      <c r="F33" s="18">
        <f>IF(見積書!F33="","",見積書!F33)</f>
        <v/>
      </c>
      <c r="G33" s="18">
        <f>IF(OR(D33="",F33=""),"",ROUND(D33*F33,0))</f>
        <v/>
      </c>
    </row>
    <row r="34">
      <c r="A34" s="9" t="inlineStr">
        <is>
          <t>追加・変更工事（見積後に決まったもの。減額はマイナスの数量で）</t>
        </is>
      </c>
    </row>
    <row r="35">
      <c r="A35" s="16" t="n">
        <v>21</v>
      </c>
      <c r="B35" s="6" t="n"/>
      <c r="C35" s="6" t="n"/>
      <c r="D35" s="6" t="n"/>
      <c r="E35" s="6" t="n"/>
      <c r="F35" s="17" t="n"/>
      <c r="G35" s="18">
        <f>IF(OR(D35="",F35=""),"",ROUND(D35*F35,0))</f>
        <v/>
      </c>
    </row>
    <row r="36">
      <c r="A36" s="16" t="n">
        <v>22</v>
      </c>
      <c r="B36" s="6" t="n"/>
      <c r="C36" s="6" t="n"/>
      <c r="D36" s="6" t="n"/>
      <c r="E36" s="6" t="n"/>
      <c r="F36" s="17" t="n"/>
      <c r="G36" s="18">
        <f>IF(OR(D36="",F36=""),"",ROUND(D36*F36,0))</f>
        <v/>
      </c>
    </row>
    <row r="37">
      <c r="A37" s="16" t="n">
        <v>23</v>
      </c>
      <c r="B37" s="6" t="n"/>
      <c r="C37" s="6" t="n"/>
      <c r="D37" s="6" t="n"/>
      <c r="E37" s="6" t="n"/>
      <c r="F37" s="17" t="n"/>
      <c r="G37" s="18">
        <f>IF(OR(D37="",F37=""),"",ROUND(D37*F37,0))</f>
        <v/>
      </c>
    </row>
    <row r="38">
      <c r="A38" s="16" t="n">
        <v>24</v>
      </c>
      <c r="B38" s="6" t="n"/>
      <c r="C38" s="6" t="n"/>
      <c r="D38" s="6" t="n"/>
      <c r="E38" s="6" t="n"/>
      <c r="F38" s="17" t="n"/>
      <c r="G38" s="18">
        <f>IF(OR(D38="",F38=""),"",ROUND(D38*F38,0))</f>
        <v/>
      </c>
    </row>
    <row r="39">
      <c r="A39" s="16" t="n">
        <v>25</v>
      </c>
      <c r="B39" s="6" t="n"/>
      <c r="C39" s="6" t="n"/>
      <c r="D39" s="6" t="n"/>
      <c r="E39" s="6" t="n"/>
      <c r="F39" s="17" t="n"/>
      <c r="G39" s="18">
        <f>IF(OR(D39="",F39=""),"",ROUND(D39*F39,0))</f>
        <v/>
      </c>
    </row>
    <row r="40">
      <c r="E40" s="5" t="inlineStr">
        <is>
          <t>10%対象 小計</t>
        </is>
      </c>
      <c r="F40" s="19" t="n"/>
      <c r="G40" s="20">
        <f>SUM(G14:G39)</f>
        <v/>
      </c>
    </row>
    <row r="41">
      <c r="E41" s="5" t="inlineStr">
        <is>
          <t>消費税（10%）</t>
        </is>
      </c>
      <c r="F41" s="19" t="n"/>
      <c r="G41" s="20">
        <f>IF(N(自社情報!$B$16)&lt;=0,"税率未入力",ROUNDDOWN(G40*自社情報!$B$16,0))</f>
        <v/>
      </c>
    </row>
    <row r="42">
      <c r="E42" s="5" t="inlineStr">
        <is>
          <t>合計（税込）</t>
        </is>
      </c>
      <c r="F42" s="19" t="n"/>
      <c r="G42" s="20">
        <f>IF(ISNUMBER(G41),G40+G41,"税率未入力")</f>
        <v/>
      </c>
    </row>
    <row r="44">
      <c r="A44" s="9" t="inlineStr">
        <is>
          <t>お振込先</t>
        </is>
      </c>
      <c r="B44" s="13">
        <f>自社情報!$B$10&amp;"　"&amp;自社情報!$B$11</f>
        <v/>
      </c>
    </row>
    <row r="45">
      <c r="B45" s="13">
        <f>"口座名義："&amp;自社情報!$B$12</f>
        <v/>
      </c>
    </row>
    <row r="46">
      <c r="A46" s="4" t="inlineStr">
        <is>
          <t>※振込手数料はご負担くださいますようお願いいたします。</t>
        </is>
      </c>
    </row>
    <row r="47">
      <c r="A47" s="4" t="inlineStr">
        <is>
          <t>※金額はすべて税率10%の対象です（軽減税率の対象品目はありません）。</t>
        </is>
      </c>
    </row>
  </sheetData>
  <mergeCells count="12">
    <mergeCell ref="A1:G1"/>
    <mergeCell ref="B44:G44"/>
    <mergeCell ref="E41:F41"/>
    <mergeCell ref="F5:G5"/>
    <mergeCell ref="A34:G34"/>
    <mergeCell ref="B45:G45"/>
    <mergeCell ref="E42:F42"/>
    <mergeCell ref="F6:G6"/>
    <mergeCell ref="E40:F40"/>
    <mergeCell ref="F9:G9"/>
    <mergeCell ref="F7:G7"/>
    <mergeCell ref="F8:G8"/>
  </mergeCells>
  <pageMargins left="0.75" right="0.75" top="1" bottom="1" header="0.5" footer="0.5"/>
  <pageSetup fitToHeight="1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2026-10-19T22:54:02Z</dcterms:created>
  <dcterms:modified xsi:type="dcterms:W3CDTF">2026-10-19T22:54:02Z</dcterms:modified>
</cp:coreProperties>
</file>