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電圧降下" sheetId="2" state="visible" r:id="rId2"/>
    <sheet name="許容電流" sheetId="3" state="visible" r:id="rId3"/>
    <sheet name="材料拾い" sheetId="4" state="visible" r:id="rId4"/>
    <sheet name="見積書" sheetId="5" state="visible" r:id="rId5"/>
    <sheet name="参照表" sheetId="6" state="visible" r:id="rId6"/>
  </sheets>
  <definedNames>
    <definedName name="_xlnm.Print_Area" localSheetId="4">'見積書'!$A$1:$G$38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yyyy/mm/dd"/>
    <numFmt numFmtId="167" formatCode="&quot;¥&quot;#,##0&quot;-&quot;"/>
  </numFmts>
  <fonts count="9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sz val="10"/>
    </font>
    <font>
      <name val="Meiryo UI"/>
      <sz val="10"/>
    </font>
    <font>
      <name val="Meiryo UI"/>
      <color rgb="00666666"/>
      <sz val="9"/>
    </font>
    <font>
      <name val="Meiryo UI"/>
      <b val="1"/>
      <color rgb="00FFFFFF"/>
      <sz val="10"/>
    </font>
    <font>
      <name val="Meiryo UI"/>
      <color rgb="000000FF"/>
      <sz val="10"/>
    </font>
    <font>
      <name val="Meiryo UI"/>
      <b val="1"/>
      <sz val="18"/>
    </font>
    <font>
      <name val="Meiryo UI"/>
      <b val="1"/>
      <sz val="16"/>
    </font>
  </fonts>
  <fills count="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164" fontId="6" fillId="3" borderId="1" pivotButton="0" quotePrefix="0" xfId="0"/>
    <xf numFmtId="165" fontId="3" fillId="4" borderId="1" pivotButton="0" quotePrefix="0" xfId="0"/>
    <xf numFmtId="2" fontId="3" fillId="4" borderId="1" pivotButton="0" quotePrefix="0" xfId="0"/>
    <xf numFmtId="10" fontId="3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3" borderId="1" applyAlignment="1" pivotButton="0" quotePrefix="0" xfId="0">
      <alignment horizontal="center" vertical="center" wrapText="1"/>
    </xf>
    <xf numFmtId="9" fontId="6" fillId="3" borderId="1" pivotButton="0" quotePrefix="0" xfId="0"/>
    <xf numFmtId="3" fontId="3" fillId="4" borderId="1" pivotButton="0" quotePrefix="0" xfId="0"/>
    <xf numFmtId="3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3" fontId="2" fillId="4" borderId="1" pivotButton="0" quotePrefix="0" xfId="0"/>
    <xf numFmtId="0" fontId="7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3" borderId="0" pivotButton="0" quotePrefix="0" xfId="0"/>
    <xf numFmtId="166" fontId="6" fillId="3" borderId="0" pivotButton="0" quotePrefix="0" xfId="0"/>
    <xf numFmtId="0" fontId="2" fillId="0" borderId="0" pivotButton="0" quotePrefix="0" xfId="0"/>
    <xf numFmtId="167" fontId="8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top" wrapText="1"/>
    </xf>
    <xf numFmtId="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9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tool</author>
  </authors>
  <commentList>
    <comment ref="C5" authorId="0" shapeId="0">
      <text>
        <t>単相3線式は中性線との間の電圧（100V）を入力</t>
      </text>
    </comment>
    <comment ref="G5" authorId="0" shapeId="0">
      <text>
        <t>参照表⑥の内線規程の目安を参考に入力（例: 2%）</t>
      </text>
    </comment>
    <comment ref="M5" authorId="0" shapeId="0">
      <text>
        <t>許容降下率を満たす最小の標準断面積。許容電流の確認は別途「許容電流」シートで。</t>
      </text>
    </comment>
  </commentList>
</comments>
</file>

<file path=xl/comments/comment2.xml><?xml version="1.0" encoding="utf-8"?>
<comments xmlns="http://schemas.openxmlformats.org/spreadsheetml/2006/main">
  <authors>
    <author>tool</author>
  </authors>
  <commentList>
    <comment ref="C5" authorId="0" shapeId="0">
      <text>
        <t>VVF等ケーブルは内線規程・メーカーの許容電流表を優先してください</t>
      </text>
    </comment>
  </commentList>
</comments>
</file>

<file path=xl/comments/comment3.xml><?xml version="1.0" encoding="utf-8"?>
<comments xmlns="http://schemas.openxmlformats.org/spreadsheetml/2006/main">
  <authors>
    <author>tool</author>
  </authors>
  <commentList>
    <comment ref="E7" authorId="0" shapeId="0">
      <text>
        <t>インボイス（適格請求書発行事業者）の登録番号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電気工事 現場計算ツールキット  v1.0</t>
        </is>
      </c>
    </row>
    <row r="3">
      <c r="A3" s="2" t="inlineStr">
        <is>
          <t>■ 使い方</t>
        </is>
      </c>
    </row>
    <row r="4">
      <c r="A4" s="3" t="inlineStr">
        <is>
          <t>・黄色セル（青字）に入力すると、水色セルが自動計算されます。1行目の「例）」行は上書きしてOKです。</t>
        </is>
      </c>
    </row>
    <row r="5">
      <c r="A5" s="3" t="inlineStr">
        <is>
          <t>・プルダウンのあるセルはリストから選んでください。</t>
        </is>
      </c>
    </row>
    <row r="6">
      <c r="A6" s="3" t="inlineStr"/>
    </row>
    <row r="7">
      <c r="A7" s="2" t="inlineStr">
        <is>
          <t>■ シート構成</t>
        </is>
      </c>
    </row>
    <row r="8">
      <c r="A8" s="3" t="inlineStr">
        <is>
          <t>・電圧降下 …… 配電方式・電流・こう長・断面積から電圧降下/降下率を計算し、許容値を満たす推奨サイズを表示</t>
        </is>
      </c>
    </row>
    <row r="9">
      <c r="A9" s="3" t="inlineStr">
        <is>
          <t>・許容電流 …… 電線の許容電流を電流減少係数・周囲温度で補正し、負荷電流とOK/NG判定</t>
        </is>
      </c>
    </row>
    <row r="10">
      <c r="A10" s="3" t="inlineStr">
        <is>
          <t>・材料拾い …… 部屋/区画ごとの数量からロス率込みの合計数量と材料費を集計</t>
        </is>
      </c>
    </row>
    <row r="11">
      <c r="A11" s="3" t="inlineStr">
        <is>
          <t>・見積書 …… 材料拾いの材料費を自動で取り込み、税込金額まで計算（インボイス登録番号欄あり）。印刷範囲設定済み</t>
        </is>
      </c>
    </row>
    <row r="12">
      <c r="A12" s="3" t="inlineStr">
        <is>
          <t>・参照表 …… 計算に使う係数・基準値の一覧（出典つき）</t>
        </is>
      </c>
    </row>
    <row r="13">
      <c r="A13" s="3" t="inlineStr"/>
    </row>
    <row r="14">
      <c r="A14" s="2" t="inlineStr">
        <is>
          <t>■ 計算の根拠</t>
        </is>
      </c>
    </row>
    <row r="15">
      <c r="A15" s="3" t="inlineStr">
        <is>
          <t>・電圧降下: 内線規程の簡易式 e = K×L×I ÷ (1000×A)（銅線・力率1・平衡負荷を想定）</t>
        </is>
      </c>
    </row>
    <row r="16">
      <c r="A16" s="3" t="inlineStr">
        <is>
          <t>・許容電流: 電気設備技術基準の解釈 第146条（表146-1, 146-3）、分岐回路: 同 第149条</t>
        </is>
      </c>
    </row>
    <row r="17">
      <c r="A17" s="3" t="inlineStr"/>
    </row>
    <row r="18">
      <c r="A18" s="3" t="inlineStr">
        <is>
          <t>【免責】本ツールは設計・積算の補助を目的とした概算ツールです。最終判断は最新の電気設備技術基準・同解釈・内線規程・メーカー資料・所轄電力会社の規定に基づき、有資格者が行ってください。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9" customWidth="1" min="4" max="4"/>
    <col width="9" customWidth="1" min="5" max="5"/>
    <col width="11" customWidth="1" min="6" max="6"/>
    <col width="10" customWidth="1" min="7" max="7"/>
    <col width="8" customWidth="1" min="8" max="8"/>
    <col width="10" customWidth="1" min="9" max="9"/>
    <col width="9" customWidth="1" min="10" max="10"/>
    <col width="8" customWidth="1" min="11" max="11"/>
    <col width="11" customWidth="1" min="12" max="12"/>
    <col width="11" customWidth="1" min="13" max="13"/>
  </cols>
  <sheetData>
    <row r="1">
      <c r="A1" s="1" t="inlineStr">
        <is>
          <t>電圧降下・電線サイズ計算</t>
        </is>
      </c>
    </row>
    <row r="2">
      <c r="A2" s="4" t="inlineStr">
        <is>
          <t>凡例: 黄色セル（青字）＝入力欄 ／ 水色セル＝自動計算 ／ それ以外は触らないでください</t>
        </is>
      </c>
    </row>
    <row r="3">
      <c r="A3" s="4" t="inlineStr">
        <is>
          <t>e = K×L×I ÷ (1000×A)　K: 単相2線35.6／単相3線17.8／三相3線30.8（内線規程の簡易式・銅線）</t>
        </is>
      </c>
    </row>
    <row r="5" ht="32" customHeight="1">
      <c r="A5" s="5" t="inlineStr">
        <is>
          <t>回路名</t>
        </is>
      </c>
      <c r="B5" s="5" t="inlineStr">
        <is>
          <t>配電方式</t>
        </is>
      </c>
      <c r="C5" s="5" t="inlineStr">
        <is>
          <t>基準電圧
V</t>
        </is>
      </c>
      <c r="D5" s="5" t="inlineStr">
        <is>
          <t>電流
A</t>
        </is>
      </c>
      <c r="E5" s="5" t="inlineStr">
        <is>
          <t>こう長
m</t>
        </is>
      </c>
      <c r="F5" s="5" t="inlineStr">
        <is>
          <t>電線断面積
mm²</t>
        </is>
      </c>
      <c r="G5" s="5" t="inlineStr">
        <is>
          <t>許容降下率</t>
        </is>
      </c>
      <c r="H5" s="5" t="inlineStr">
        <is>
          <t>係数K</t>
        </is>
      </c>
      <c r="I5" s="5" t="inlineStr">
        <is>
          <t>電圧降下
V</t>
        </is>
      </c>
      <c r="J5" s="5" t="inlineStr">
        <is>
          <t>降下率</t>
        </is>
      </c>
      <c r="K5" s="5" t="inlineStr">
        <is>
          <t>判定</t>
        </is>
      </c>
      <c r="L5" s="5" t="inlineStr">
        <is>
          <t>必要断面積
mm²</t>
        </is>
      </c>
      <c r="M5" s="5" t="inlineStr">
        <is>
          <t>推奨サイズ
mm²</t>
        </is>
      </c>
    </row>
    <row r="6">
      <c r="A6" s="6" t="inlineStr">
        <is>
          <t>例）1F照明</t>
        </is>
      </c>
      <c r="B6" s="6" t="inlineStr">
        <is>
          <t>単相2線式</t>
        </is>
      </c>
      <c r="C6" s="6" t="n">
        <v>100</v>
      </c>
      <c r="D6" s="6" t="n">
        <v>12</v>
      </c>
      <c r="E6" s="6" t="n">
        <v>35</v>
      </c>
      <c r="F6" s="6" t="n">
        <v>3.5</v>
      </c>
      <c r="G6" s="7" t="n">
        <v>0.02</v>
      </c>
      <c r="H6" s="8">
        <f>IFERROR(INDEX(参照表!$B$5:$B$7,MATCH(B6,参照表!$A$5:$A$7,0)),"")</f>
        <v/>
      </c>
      <c r="I6" s="9">
        <f>IF(OR(B6="",D6="",E6="",F6="",N(F6)&lt;=0),"",H6*E6*D6/(1000*F6))</f>
        <v/>
      </c>
      <c r="J6" s="10">
        <f>IF(OR(I6="",C6="",N(C6)&lt;=0),"",I6/C6)</f>
        <v/>
      </c>
      <c r="K6" s="11">
        <f>IF(OR(J6="",G6=""),"",IF(J6&lt;=G6,"OK","NG"))</f>
        <v/>
      </c>
      <c r="L6" s="9">
        <f>IF(OR(H6="",D6="",E6="",C6="",G6="",N(C6)&lt;=0,N(G6)&lt;=0),"",H6*E6*D6/(1000*C6*G6))</f>
        <v/>
      </c>
      <c r="M6" s="11">
        <f>IF(L6="","",IF(L6&gt;MAX(参照表!$A$12:$A$24),"要検討",INDEX(参照表!$A$12:$A$24,COUNTIF(参照表!$A$12:$A$24,"&lt;"&amp;L6)+1)))</f>
        <v/>
      </c>
    </row>
    <row r="7">
      <c r="A7" s="6" t="n"/>
      <c r="B7" s="6" t="n"/>
      <c r="C7" s="6" t="n"/>
      <c r="D7" s="6" t="n"/>
      <c r="E7" s="6" t="n"/>
      <c r="F7" s="6" t="n"/>
      <c r="G7" s="7" t="n"/>
      <c r="H7" s="8">
        <f>IFERROR(INDEX(参照表!$B$5:$B$7,MATCH(B7,参照表!$A$5:$A$7,0)),"")</f>
        <v/>
      </c>
      <c r="I7" s="9">
        <f>IF(OR(B7="",D7="",E7="",F7="",N(F7)&lt;=0),"",H7*E7*D7/(1000*F7))</f>
        <v/>
      </c>
      <c r="J7" s="10">
        <f>IF(OR(I7="",C7="",N(C7)&lt;=0),"",I7/C7)</f>
        <v/>
      </c>
      <c r="K7" s="11">
        <f>IF(OR(J7="",G7=""),"",IF(J7&lt;=G7,"OK","NG"))</f>
        <v/>
      </c>
      <c r="L7" s="9">
        <f>IF(OR(H7="",D7="",E7="",C7="",G7="",N(C7)&lt;=0,N(G7)&lt;=0),"",H7*E7*D7/(1000*C7*G7))</f>
        <v/>
      </c>
      <c r="M7" s="11">
        <f>IF(L7="","",IF(L7&gt;MAX(参照表!$A$12:$A$24),"要検討",INDEX(参照表!$A$12:$A$24,COUNTIF(参照表!$A$12:$A$24,"&lt;"&amp;L7)+1)))</f>
        <v/>
      </c>
    </row>
    <row r="8">
      <c r="A8" s="6" t="n"/>
      <c r="B8" s="6" t="n"/>
      <c r="C8" s="6" t="n"/>
      <c r="D8" s="6" t="n"/>
      <c r="E8" s="6" t="n"/>
      <c r="F8" s="6" t="n"/>
      <c r="G8" s="7" t="n"/>
      <c r="H8" s="8">
        <f>IFERROR(INDEX(参照表!$B$5:$B$7,MATCH(B8,参照表!$A$5:$A$7,0)),"")</f>
        <v/>
      </c>
      <c r="I8" s="9">
        <f>IF(OR(B8="",D8="",E8="",F8="",N(F8)&lt;=0),"",H8*E8*D8/(1000*F8))</f>
        <v/>
      </c>
      <c r="J8" s="10">
        <f>IF(OR(I8="",C8="",N(C8)&lt;=0),"",I8/C8)</f>
        <v/>
      </c>
      <c r="K8" s="11">
        <f>IF(OR(J8="",G8=""),"",IF(J8&lt;=G8,"OK","NG"))</f>
        <v/>
      </c>
      <c r="L8" s="9">
        <f>IF(OR(H8="",D8="",E8="",C8="",G8="",N(C8)&lt;=0,N(G8)&lt;=0),"",H8*E8*D8/(1000*C8*G8))</f>
        <v/>
      </c>
      <c r="M8" s="11">
        <f>IF(L8="","",IF(L8&gt;MAX(参照表!$A$12:$A$24),"要検討",INDEX(参照表!$A$12:$A$24,COUNTIF(参照表!$A$12:$A$24,"&lt;"&amp;L8)+1)))</f>
        <v/>
      </c>
    </row>
    <row r="9">
      <c r="A9" s="6" t="n"/>
      <c r="B9" s="6" t="n"/>
      <c r="C9" s="6" t="n"/>
      <c r="D9" s="6" t="n"/>
      <c r="E9" s="6" t="n"/>
      <c r="F9" s="6" t="n"/>
      <c r="G9" s="7" t="n"/>
      <c r="H9" s="8">
        <f>IFERROR(INDEX(参照表!$B$5:$B$7,MATCH(B9,参照表!$A$5:$A$7,0)),"")</f>
        <v/>
      </c>
      <c r="I9" s="9">
        <f>IF(OR(B9="",D9="",E9="",F9="",N(F9)&lt;=0),"",H9*E9*D9/(1000*F9))</f>
        <v/>
      </c>
      <c r="J9" s="10">
        <f>IF(OR(I9="",C9="",N(C9)&lt;=0),"",I9/C9)</f>
        <v/>
      </c>
      <c r="K9" s="11">
        <f>IF(OR(J9="",G9=""),"",IF(J9&lt;=G9,"OK","NG"))</f>
        <v/>
      </c>
      <c r="L9" s="9">
        <f>IF(OR(H9="",D9="",E9="",C9="",G9="",N(C9)&lt;=0,N(G9)&lt;=0),"",H9*E9*D9/(1000*C9*G9))</f>
        <v/>
      </c>
      <c r="M9" s="11">
        <f>IF(L9="","",IF(L9&gt;MAX(参照表!$A$12:$A$24),"要検討",INDEX(参照表!$A$12:$A$24,COUNTIF(参照表!$A$12:$A$24,"&lt;"&amp;L9)+1)))</f>
        <v/>
      </c>
    </row>
    <row r="10">
      <c r="A10" s="6" t="n"/>
      <c r="B10" s="6" t="n"/>
      <c r="C10" s="6" t="n"/>
      <c r="D10" s="6" t="n"/>
      <c r="E10" s="6" t="n"/>
      <c r="F10" s="6" t="n"/>
      <c r="G10" s="7" t="n"/>
      <c r="H10" s="8">
        <f>IFERROR(INDEX(参照表!$B$5:$B$7,MATCH(B10,参照表!$A$5:$A$7,0)),"")</f>
        <v/>
      </c>
      <c r="I10" s="9">
        <f>IF(OR(B10="",D10="",E10="",F10="",N(F10)&lt;=0),"",H10*E10*D10/(1000*F10))</f>
        <v/>
      </c>
      <c r="J10" s="10">
        <f>IF(OR(I10="",C10="",N(C10)&lt;=0),"",I10/C10)</f>
        <v/>
      </c>
      <c r="K10" s="11">
        <f>IF(OR(J10="",G10=""),"",IF(J10&lt;=G10,"OK","NG"))</f>
        <v/>
      </c>
      <c r="L10" s="9">
        <f>IF(OR(H10="",D10="",E10="",C10="",G10="",N(C10)&lt;=0,N(G10)&lt;=0),"",H10*E10*D10/(1000*C10*G10))</f>
        <v/>
      </c>
      <c r="M10" s="11">
        <f>IF(L10="","",IF(L10&gt;MAX(参照表!$A$12:$A$24),"要検討",INDEX(参照表!$A$12:$A$24,COUNTIF(参照表!$A$12:$A$24,"&lt;"&amp;L10)+1)))</f>
        <v/>
      </c>
    </row>
    <row r="11">
      <c r="A11" s="6" t="n"/>
      <c r="B11" s="6" t="n"/>
      <c r="C11" s="6" t="n"/>
      <c r="D11" s="6" t="n"/>
      <c r="E11" s="6" t="n"/>
      <c r="F11" s="6" t="n"/>
      <c r="G11" s="7" t="n"/>
      <c r="H11" s="8">
        <f>IFERROR(INDEX(参照表!$B$5:$B$7,MATCH(B11,参照表!$A$5:$A$7,0)),"")</f>
        <v/>
      </c>
      <c r="I11" s="9">
        <f>IF(OR(B11="",D11="",E11="",F11="",N(F11)&lt;=0),"",H11*E11*D11/(1000*F11))</f>
        <v/>
      </c>
      <c r="J11" s="10">
        <f>IF(OR(I11="",C11="",N(C11)&lt;=0),"",I11/C11)</f>
        <v/>
      </c>
      <c r="K11" s="11">
        <f>IF(OR(J11="",G11=""),"",IF(J11&lt;=G11,"OK","NG"))</f>
        <v/>
      </c>
      <c r="L11" s="9">
        <f>IF(OR(H11="",D11="",E11="",C11="",G11="",N(C11)&lt;=0,N(G11)&lt;=0),"",H11*E11*D11/(1000*C11*G11))</f>
        <v/>
      </c>
      <c r="M11" s="11">
        <f>IF(L11="","",IF(L11&gt;MAX(参照表!$A$12:$A$24),"要検討",INDEX(参照表!$A$12:$A$24,COUNTIF(参照表!$A$12:$A$24,"&lt;"&amp;L11)+1)))</f>
        <v/>
      </c>
    </row>
    <row r="12">
      <c r="A12" s="6" t="n"/>
      <c r="B12" s="6" t="n"/>
      <c r="C12" s="6" t="n"/>
      <c r="D12" s="6" t="n"/>
      <c r="E12" s="6" t="n"/>
      <c r="F12" s="6" t="n"/>
      <c r="G12" s="7" t="n"/>
      <c r="H12" s="8">
        <f>IFERROR(INDEX(参照表!$B$5:$B$7,MATCH(B12,参照表!$A$5:$A$7,0)),"")</f>
        <v/>
      </c>
      <c r="I12" s="9">
        <f>IF(OR(B12="",D12="",E12="",F12="",N(F12)&lt;=0),"",H12*E12*D12/(1000*F12))</f>
        <v/>
      </c>
      <c r="J12" s="10">
        <f>IF(OR(I12="",C12="",N(C12)&lt;=0),"",I12/C12)</f>
        <v/>
      </c>
      <c r="K12" s="11">
        <f>IF(OR(J12="",G12=""),"",IF(J12&lt;=G12,"OK","NG"))</f>
        <v/>
      </c>
      <c r="L12" s="9">
        <f>IF(OR(H12="",D12="",E12="",C12="",G12="",N(C12)&lt;=0,N(G12)&lt;=0),"",H12*E12*D12/(1000*C12*G12))</f>
        <v/>
      </c>
      <c r="M12" s="11">
        <f>IF(L12="","",IF(L12&gt;MAX(参照表!$A$12:$A$24),"要検討",INDEX(参照表!$A$12:$A$24,COUNTIF(参照表!$A$12:$A$24,"&lt;"&amp;L12)+1)))</f>
        <v/>
      </c>
    </row>
    <row r="13">
      <c r="A13" s="6" t="n"/>
      <c r="B13" s="6" t="n"/>
      <c r="C13" s="6" t="n"/>
      <c r="D13" s="6" t="n"/>
      <c r="E13" s="6" t="n"/>
      <c r="F13" s="6" t="n"/>
      <c r="G13" s="7" t="n"/>
      <c r="H13" s="8">
        <f>IFERROR(INDEX(参照表!$B$5:$B$7,MATCH(B13,参照表!$A$5:$A$7,0)),"")</f>
        <v/>
      </c>
      <c r="I13" s="9">
        <f>IF(OR(B13="",D13="",E13="",F13="",N(F13)&lt;=0),"",H13*E13*D13/(1000*F13))</f>
        <v/>
      </c>
      <c r="J13" s="10">
        <f>IF(OR(I13="",C13="",N(C13)&lt;=0),"",I13/C13)</f>
        <v/>
      </c>
      <c r="K13" s="11">
        <f>IF(OR(J13="",G13=""),"",IF(J13&lt;=G13,"OK","NG"))</f>
        <v/>
      </c>
      <c r="L13" s="9">
        <f>IF(OR(H13="",D13="",E13="",C13="",G13="",N(C13)&lt;=0,N(G13)&lt;=0),"",H13*E13*D13/(1000*C13*G13))</f>
        <v/>
      </c>
      <c r="M13" s="11">
        <f>IF(L13="","",IF(L13&gt;MAX(参照表!$A$12:$A$24),"要検討",INDEX(参照表!$A$12:$A$24,COUNTIF(参照表!$A$12:$A$24,"&lt;"&amp;L13)+1)))</f>
        <v/>
      </c>
    </row>
    <row r="14">
      <c r="A14" s="6" t="n"/>
      <c r="B14" s="6" t="n"/>
      <c r="C14" s="6" t="n"/>
      <c r="D14" s="6" t="n"/>
      <c r="E14" s="6" t="n"/>
      <c r="F14" s="6" t="n"/>
      <c r="G14" s="7" t="n"/>
      <c r="H14" s="8">
        <f>IFERROR(INDEX(参照表!$B$5:$B$7,MATCH(B14,参照表!$A$5:$A$7,0)),"")</f>
        <v/>
      </c>
      <c r="I14" s="9">
        <f>IF(OR(B14="",D14="",E14="",F14="",N(F14)&lt;=0),"",H14*E14*D14/(1000*F14))</f>
        <v/>
      </c>
      <c r="J14" s="10">
        <f>IF(OR(I14="",C14="",N(C14)&lt;=0),"",I14/C14)</f>
        <v/>
      </c>
      <c r="K14" s="11">
        <f>IF(OR(J14="",G14=""),"",IF(J14&lt;=G14,"OK","NG"))</f>
        <v/>
      </c>
      <c r="L14" s="9">
        <f>IF(OR(H14="",D14="",E14="",C14="",G14="",N(C14)&lt;=0,N(G14)&lt;=0),"",H14*E14*D14/(1000*C14*G14))</f>
        <v/>
      </c>
      <c r="M14" s="11">
        <f>IF(L14="","",IF(L14&gt;MAX(参照表!$A$12:$A$24),"要検討",INDEX(参照表!$A$12:$A$24,COUNTIF(参照表!$A$12:$A$24,"&lt;"&amp;L14)+1)))</f>
        <v/>
      </c>
    </row>
    <row r="15">
      <c r="A15" s="6" t="n"/>
      <c r="B15" s="6" t="n"/>
      <c r="C15" s="6" t="n"/>
      <c r="D15" s="6" t="n"/>
      <c r="E15" s="6" t="n"/>
      <c r="F15" s="6" t="n"/>
      <c r="G15" s="7" t="n"/>
      <c r="H15" s="8">
        <f>IFERROR(INDEX(参照表!$B$5:$B$7,MATCH(B15,参照表!$A$5:$A$7,0)),"")</f>
        <v/>
      </c>
      <c r="I15" s="9">
        <f>IF(OR(B15="",D15="",E15="",F15="",N(F15)&lt;=0),"",H15*E15*D15/(1000*F15))</f>
        <v/>
      </c>
      <c r="J15" s="10">
        <f>IF(OR(I15="",C15="",N(C15)&lt;=0),"",I15/C15)</f>
        <v/>
      </c>
      <c r="K15" s="11">
        <f>IF(OR(J15="",G15=""),"",IF(J15&lt;=G15,"OK","NG"))</f>
        <v/>
      </c>
      <c r="L15" s="9">
        <f>IF(OR(H15="",D15="",E15="",C15="",G15="",N(C15)&lt;=0,N(G15)&lt;=0),"",H15*E15*D15/(1000*C15*G15))</f>
        <v/>
      </c>
      <c r="M15" s="11">
        <f>IF(L15="","",IF(L15&gt;MAX(参照表!$A$12:$A$24),"要検討",INDEX(参照表!$A$12:$A$24,COUNTIF(参照表!$A$12:$A$24,"&lt;"&amp;L15)+1)))</f>
        <v/>
      </c>
    </row>
    <row r="16">
      <c r="A16" s="6" t="n"/>
      <c r="B16" s="6" t="n"/>
      <c r="C16" s="6" t="n"/>
      <c r="D16" s="6" t="n"/>
      <c r="E16" s="6" t="n"/>
      <c r="F16" s="6" t="n"/>
      <c r="G16" s="7" t="n"/>
      <c r="H16" s="8">
        <f>IFERROR(INDEX(参照表!$B$5:$B$7,MATCH(B16,参照表!$A$5:$A$7,0)),"")</f>
        <v/>
      </c>
      <c r="I16" s="9">
        <f>IF(OR(B16="",D16="",E16="",F16="",N(F16)&lt;=0),"",H16*E16*D16/(1000*F16))</f>
        <v/>
      </c>
      <c r="J16" s="10">
        <f>IF(OR(I16="",C16="",N(C16)&lt;=0),"",I16/C16)</f>
        <v/>
      </c>
      <c r="K16" s="11">
        <f>IF(OR(J16="",G16=""),"",IF(J16&lt;=G16,"OK","NG"))</f>
        <v/>
      </c>
      <c r="L16" s="9">
        <f>IF(OR(H16="",D16="",E16="",C16="",G16="",N(C16)&lt;=0,N(G16)&lt;=0),"",H16*E16*D16/(1000*C16*G16))</f>
        <v/>
      </c>
      <c r="M16" s="11">
        <f>IF(L16="","",IF(L16&gt;MAX(参照表!$A$12:$A$24),"要検討",INDEX(参照表!$A$12:$A$24,COUNTIF(参照表!$A$12:$A$24,"&lt;"&amp;L16)+1)))</f>
        <v/>
      </c>
    </row>
    <row r="17">
      <c r="A17" s="6" t="n"/>
      <c r="B17" s="6" t="n"/>
      <c r="C17" s="6" t="n"/>
      <c r="D17" s="6" t="n"/>
      <c r="E17" s="6" t="n"/>
      <c r="F17" s="6" t="n"/>
      <c r="G17" s="7" t="n"/>
      <c r="H17" s="8">
        <f>IFERROR(INDEX(参照表!$B$5:$B$7,MATCH(B17,参照表!$A$5:$A$7,0)),"")</f>
        <v/>
      </c>
      <c r="I17" s="9">
        <f>IF(OR(B17="",D17="",E17="",F17="",N(F17)&lt;=0),"",H17*E17*D17/(1000*F17))</f>
        <v/>
      </c>
      <c r="J17" s="10">
        <f>IF(OR(I17="",C17="",N(C17)&lt;=0),"",I17/C17)</f>
        <v/>
      </c>
      <c r="K17" s="11">
        <f>IF(OR(J17="",G17=""),"",IF(J17&lt;=G17,"OK","NG"))</f>
        <v/>
      </c>
      <c r="L17" s="9">
        <f>IF(OR(H17="",D17="",E17="",C17="",G17="",N(C17)&lt;=0,N(G17)&lt;=0),"",H17*E17*D17/(1000*C17*G17))</f>
        <v/>
      </c>
      <c r="M17" s="11">
        <f>IF(L17="","",IF(L17&gt;MAX(参照表!$A$12:$A$24),"要検討",INDEX(参照表!$A$12:$A$24,COUNTIF(参照表!$A$12:$A$24,"&lt;"&amp;L17)+1)))</f>
        <v/>
      </c>
    </row>
    <row r="18">
      <c r="A18" s="6" t="n"/>
      <c r="B18" s="6" t="n"/>
      <c r="C18" s="6" t="n"/>
      <c r="D18" s="6" t="n"/>
      <c r="E18" s="6" t="n"/>
      <c r="F18" s="6" t="n"/>
      <c r="G18" s="7" t="n"/>
      <c r="H18" s="8">
        <f>IFERROR(INDEX(参照表!$B$5:$B$7,MATCH(B18,参照表!$A$5:$A$7,0)),"")</f>
        <v/>
      </c>
      <c r="I18" s="9">
        <f>IF(OR(B18="",D18="",E18="",F18="",N(F18)&lt;=0),"",H18*E18*D18/(1000*F18))</f>
        <v/>
      </c>
      <c r="J18" s="10">
        <f>IF(OR(I18="",C18="",N(C18)&lt;=0),"",I18/C18)</f>
        <v/>
      </c>
      <c r="K18" s="11">
        <f>IF(OR(J18="",G18=""),"",IF(J18&lt;=G18,"OK","NG"))</f>
        <v/>
      </c>
      <c r="L18" s="9">
        <f>IF(OR(H18="",D18="",E18="",C18="",G18="",N(C18)&lt;=0,N(G18)&lt;=0),"",H18*E18*D18/(1000*C18*G18))</f>
        <v/>
      </c>
      <c r="M18" s="11">
        <f>IF(L18="","",IF(L18&gt;MAX(参照表!$A$12:$A$24),"要検討",INDEX(参照表!$A$12:$A$24,COUNTIF(参照表!$A$12:$A$24,"&lt;"&amp;L18)+1)))</f>
        <v/>
      </c>
    </row>
    <row r="19">
      <c r="A19" s="6" t="n"/>
      <c r="B19" s="6" t="n"/>
      <c r="C19" s="6" t="n"/>
      <c r="D19" s="6" t="n"/>
      <c r="E19" s="6" t="n"/>
      <c r="F19" s="6" t="n"/>
      <c r="G19" s="7" t="n"/>
      <c r="H19" s="8">
        <f>IFERROR(INDEX(参照表!$B$5:$B$7,MATCH(B19,参照表!$A$5:$A$7,0)),"")</f>
        <v/>
      </c>
      <c r="I19" s="9">
        <f>IF(OR(B19="",D19="",E19="",F19="",N(F19)&lt;=0),"",H19*E19*D19/(1000*F19))</f>
        <v/>
      </c>
      <c r="J19" s="10">
        <f>IF(OR(I19="",C19="",N(C19)&lt;=0),"",I19/C19)</f>
        <v/>
      </c>
      <c r="K19" s="11">
        <f>IF(OR(J19="",G19=""),"",IF(J19&lt;=G19,"OK","NG"))</f>
        <v/>
      </c>
      <c r="L19" s="9">
        <f>IF(OR(H19="",D19="",E19="",C19="",G19="",N(C19)&lt;=0,N(G19)&lt;=0),"",H19*E19*D19/(1000*C19*G19))</f>
        <v/>
      </c>
      <c r="M19" s="11">
        <f>IF(L19="","",IF(L19&gt;MAX(参照表!$A$12:$A$24),"要検討",INDEX(参照表!$A$12:$A$24,COUNTIF(参照表!$A$12:$A$24,"&lt;"&amp;L19)+1)))</f>
        <v/>
      </c>
    </row>
    <row r="20">
      <c r="A20" s="6" t="n"/>
      <c r="B20" s="6" t="n"/>
      <c r="C20" s="6" t="n"/>
      <c r="D20" s="6" t="n"/>
      <c r="E20" s="6" t="n"/>
      <c r="F20" s="6" t="n"/>
      <c r="G20" s="7" t="n"/>
      <c r="H20" s="8">
        <f>IFERROR(INDEX(参照表!$B$5:$B$7,MATCH(B20,参照表!$A$5:$A$7,0)),"")</f>
        <v/>
      </c>
      <c r="I20" s="9">
        <f>IF(OR(B20="",D20="",E20="",F20="",N(F20)&lt;=0),"",H20*E20*D20/(1000*F20))</f>
        <v/>
      </c>
      <c r="J20" s="10">
        <f>IF(OR(I20="",C20="",N(C20)&lt;=0),"",I20/C20)</f>
        <v/>
      </c>
      <c r="K20" s="11">
        <f>IF(OR(J20="",G20=""),"",IF(J20&lt;=G20,"OK","NG"))</f>
        <v/>
      </c>
      <c r="L20" s="9">
        <f>IF(OR(H20="",D20="",E20="",C20="",G20="",N(C20)&lt;=0,N(G20)&lt;=0),"",H20*E20*D20/(1000*C20*G20))</f>
        <v/>
      </c>
      <c r="M20" s="11">
        <f>IF(L20="","",IF(L20&gt;MAX(参照表!$A$12:$A$24),"要検討",INDEX(参照表!$A$12:$A$24,COUNTIF(参照表!$A$12:$A$24,"&lt;"&amp;L20)+1)))</f>
        <v/>
      </c>
    </row>
    <row r="21">
      <c r="A21" s="6" t="n"/>
      <c r="B21" s="6" t="n"/>
      <c r="C21" s="6" t="n"/>
      <c r="D21" s="6" t="n"/>
      <c r="E21" s="6" t="n"/>
      <c r="F21" s="6" t="n"/>
      <c r="G21" s="7" t="n"/>
      <c r="H21" s="8">
        <f>IFERROR(INDEX(参照表!$B$5:$B$7,MATCH(B21,参照表!$A$5:$A$7,0)),"")</f>
        <v/>
      </c>
      <c r="I21" s="9">
        <f>IF(OR(B21="",D21="",E21="",F21="",N(F21)&lt;=0),"",H21*E21*D21/(1000*F21))</f>
        <v/>
      </c>
      <c r="J21" s="10">
        <f>IF(OR(I21="",C21="",N(C21)&lt;=0),"",I21/C21)</f>
        <v/>
      </c>
      <c r="K21" s="11">
        <f>IF(OR(J21="",G21=""),"",IF(J21&lt;=G21,"OK","NG"))</f>
        <v/>
      </c>
      <c r="L21" s="9">
        <f>IF(OR(H21="",D21="",E21="",C21="",G21="",N(C21)&lt;=0,N(G21)&lt;=0),"",H21*E21*D21/(1000*C21*G21))</f>
        <v/>
      </c>
      <c r="M21" s="11">
        <f>IF(L21="","",IF(L21&gt;MAX(参照表!$A$12:$A$24),"要検討",INDEX(参照表!$A$12:$A$24,COUNTIF(参照表!$A$12:$A$24,"&lt;"&amp;L21)+1)))</f>
        <v/>
      </c>
    </row>
    <row r="22">
      <c r="A22" s="6" t="n"/>
      <c r="B22" s="6" t="n"/>
      <c r="C22" s="6" t="n"/>
      <c r="D22" s="6" t="n"/>
      <c r="E22" s="6" t="n"/>
      <c r="F22" s="6" t="n"/>
      <c r="G22" s="7" t="n"/>
      <c r="H22" s="8">
        <f>IFERROR(INDEX(参照表!$B$5:$B$7,MATCH(B22,参照表!$A$5:$A$7,0)),"")</f>
        <v/>
      </c>
      <c r="I22" s="9">
        <f>IF(OR(B22="",D22="",E22="",F22="",N(F22)&lt;=0),"",H22*E22*D22/(1000*F22))</f>
        <v/>
      </c>
      <c r="J22" s="10">
        <f>IF(OR(I22="",C22="",N(C22)&lt;=0),"",I22/C22)</f>
        <v/>
      </c>
      <c r="K22" s="11">
        <f>IF(OR(J22="",G22=""),"",IF(J22&lt;=G22,"OK","NG"))</f>
        <v/>
      </c>
      <c r="L22" s="9">
        <f>IF(OR(H22="",D22="",E22="",C22="",G22="",N(C22)&lt;=0,N(G22)&lt;=0),"",H22*E22*D22/(1000*C22*G22))</f>
        <v/>
      </c>
      <c r="M22" s="11">
        <f>IF(L22="","",IF(L22&gt;MAX(参照表!$A$12:$A$24),"要検討",INDEX(参照表!$A$12:$A$24,COUNTIF(参照表!$A$12:$A$24,"&lt;"&amp;L22)+1)))</f>
        <v/>
      </c>
    </row>
    <row r="23">
      <c r="A23" s="6" t="n"/>
      <c r="B23" s="6" t="n"/>
      <c r="C23" s="6" t="n"/>
      <c r="D23" s="6" t="n"/>
      <c r="E23" s="6" t="n"/>
      <c r="F23" s="6" t="n"/>
      <c r="G23" s="7" t="n"/>
      <c r="H23" s="8">
        <f>IFERROR(INDEX(参照表!$B$5:$B$7,MATCH(B23,参照表!$A$5:$A$7,0)),"")</f>
        <v/>
      </c>
      <c r="I23" s="9">
        <f>IF(OR(B23="",D23="",E23="",F23="",N(F23)&lt;=0),"",H23*E23*D23/(1000*F23))</f>
        <v/>
      </c>
      <c r="J23" s="10">
        <f>IF(OR(I23="",C23="",N(C23)&lt;=0),"",I23/C23)</f>
        <v/>
      </c>
      <c r="K23" s="11">
        <f>IF(OR(J23="",G23=""),"",IF(J23&lt;=G23,"OK","NG"))</f>
        <v/>
      </c>
      <c r="L23" s="9">
        <f>IF(OR(H23="",D23="",E23="",C23="",G23="",N(C23)&lt;=0,N(G23)&lt;=0),"",H23*E23*D23/(1000*C23*G23))</f>
        <v/>
      </c>
      <c r="M23" s="11">
        <f>IF(L23="","",IF(L23&gt;MAX(参照表!$A$12:$A$24),"要検討",INDEX(参照表!$A$12:$A$24,COUNTIF(参照表!$A$12:$A$24,"&lt;"&amp;L23)+1)))</f>
        <v/>
      </c>
    </row>
    <row r="24">
      <c r="A24" s="6" t="n"/>
      <c r="B24" s="6" t="n"/>
      <c r="C24" s="6" t="n"/>
      <c r="D24" s="6" t="n"/>
      <c r="E24" s="6" t="n"/>
      <c r="F24" s="6" t="n"/>
      <c r="G24" s="7" t="n"/>
      <c r="H24" s="8">
        <f>IFERROR(INDEX(参照表!$B$5:$B$7,MATCH(B24,参照表!$A$5:$A$7,0)),"")</f>
        <v/>
      </c>
      <c r="I24" s="9">
        <f>IF(OR(B24="",D24="",E24="",F24="",N(F24)&lt;=0),"",H24*E24*D24/(1000*F24))</f>
        <v/>
      </c>
      <c r="J24" s="10">
        <f>IF(OR(I24="",C24="",N(C24)&lt;=0),"",I24/C24)</f>
        <v/>
      </c>
      <c r="K24" s="11">
        <f>IF(OR(J24="",G24=""),"",IF(J24&lt;=G24,"OK","NG"))</f>
        <v/>
      </c>
      <c r="L24" s="9">
        <f>IF(OR(H24="",D24="",E24="",C24="",G24="",N(C24)&lt;=0,N(G24)&lt;=0),"",H24*E24*D24/(1000*C24*G24))</f>
        <v/>
      </c>
      <c r="M24" s="11">
        <f>IF(L24="","",IF(L24&gt;MAX(参照表!$A$12:$A$24),"要検討",INDEX(参照表!$A$12:$A$24,COUNTIF(参照表!$A$12:$A$24,"&lt;"&amp;L24)+1)))</f>
        <v/>
      </c>
    </row>
    <row r="25">
      <c r="A25" s="6" t="n"/>
      <c r="B25" s="6" t="n"/>
      <c r="C25" s="6" t="n"/>
      <c r="D25" s="6" t="n"/>
      <c r="E25" s="6" t="n"/>
      <c r="F25" s="6" t="n"/>
      <c r="G25" s="7" t="n"/>
      <c r="H25" s="8">
        <f>IFERROR(INDEX(参照表!$B$5:$B$7,MATCH(B25,参照表!$A$5:$A$7,0)),"")</f>
        <v/>
      </c>
      <c r="I25" s="9">
        <f>IF(OR(B25="",D25="",E25="",F25="",N(F25)&lt;=0),"",H25*E25*D25/(1000*F25))</f>
        <v/>
      </c>
      <c r="J25" s="10">
        <f>IF(OR(I25="",C25="",N(C25)&lt;=0),"",I25/C25)</f>
        <v/>
      </c>
      <c r="K25" s="11">
        <f>IF(OR(J25="",G25=""),"",IF(J25&lt;=G25,"OK","NG"))</f>
        <v/>
      </c>
      <c r="L25" s="9">
        <f>IF(OR(H25="",D25="",E25="",C25="",G25="",N(C25)&lt;=0,N(G25)&lt;=0),"",H25*E25*D25/(1000*C25*G25))</f>
        <v/>
      </c>
      <c r="M25" s="11">
        <f>IF(L25="","",IF(L25&gt;MAX(参照表!$A$12:$A$24),"要検討",INDEX(参照表!$A$12:$A$24,COUNTIF(参照表!$A$12:$A$24,"&lt;"&amp;L25)+1)))</f>
        <v/>
      </c>
    </row>
    <row r="27">
      <c r="A27" s="4" t="inlineStr">
        <is>
          <t>【免責】本ツールは設計・積算の補助を目的とした概算ツールです。最終判断は最新の電気設備技術基準・同解釈・内線規程・メーカー資料・所轄電力会社の規定に基づき、有資格者が行ってください。</t>
        </is>
      </c>
    </row>
  </sheetData>
  <conditionalFormatting sqref="K6:K25">
    <cfRule type="cellIs" priority="1" operator="equal" dxfId="0">
      <formula>"NG"</formula>
    </cfRule>
    <cfRule type="cellIs" priority="2" operator="equal" dxfId="1">
      <formula>"OK"</formula>
    </cfRule>
  </conditionalFormatting>
  <dataValidations count="1">
    <dataValidation sqref="B6 B7 B8 B9 B10 B11 B12 B13 B14 B15 B16 B17 B18 B19 B20 B21 B22 B23 B24 B25" showDropDown="0" showInputMessage="0" showErrorMessage="0" allowBlank="1" type="list">
      <formula1>=参照表!$A$5:$A$7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</cols>
  <sheetData>
    <row r="1">
      <c r="A1" s="1" t="inlineStr">
        <is>
          <t>許容電流（電流減少係数・周囲温度補正）</t>
        </is>
      </c>
    </row>
    <row r="2">
      <c r="A2" s="4" t="inlineStr">
        <is>
          <t>凡例: 黄色セル（青字）＝入力欄 ／ 水色セル＝自動計算 ／ それ以外は触らないでください</t>
        </is>
      </c>
    </row>
    <row r="3">
      <c r="A3" s="4" t="inlineStr">
        <is>
          <t>許容電流 = 基準値 × 電流減少係数 × 温度補正係数√((60-θ)/30)　（小数点以下1位を7捨8入／ビニル絶縁60℃）</t>
        </is>
      </c>
    </row>
    <row r="5" ht="32" customHeight="1">
      <c r="A5" s="5" t="inlineStr">
        <is>
          <t>回路名</t>
        </is>
      </c>
      <c r="B5" s="5" t="inlineStr">
        <is>
          <t>電線</t>
        </is>
      </c>
      <c r="C5" s="5" t="inlineStr">
        <is>
          <t>同一管内の電線数</t>
        </is>
      </c>
      <c r="D5" s="5" t="inlineStr">
        <is>
          <t>周囲温度
℃</t>
        </is>
      </c>
      <c r="E5" s="5" t="inlineStr">
        <is>
          <t>負荷電流
A</t>
        </is>
      </c>
      <c r="F5" s="5" t="inlineStr">
        <is>
          <t>基準値
A</t>
        </is>
      </c>
      <c r="G5" s="5" t="inlineStr">
        <is>
          <t>減少係数</t>
        </is>
      </c>
      <c r="H5" s="5" t="inlineStr">
        <is>
          <t>温度補正</t>
        </is>
      </c>
      <c r="I5" s="5" t="inlineStr">
        <is>
          <t>許容電流
A</t>
        </is>
      </c>
      <c r="J5" s="5" t="inlineStr">
        <is>
          <t>判定</t>
        </is>
      </c>
    </row>
    <row r="6">
      <c r="A6" s="6" t="inlineStr">
        <is>
          <t>例）エアコン回路</t>
        </is>
      </c>
      <c r="B6" s="6" t="inlineStr">
        <is>
          <t>単線 2.0mm</t>
        </is>
      </c>
      <c r="C6" s="6" t="inlineStr">
        <is>
          <t>3本以下</t>
        </is>
      </c>
      <c r="D6" s="6" t="n">
        <v>30</v>
      </c>
      <c r="E6" s="6" t="n">
        <v>16</v>
      </c>
      <c r="F6" s="12">
        <f>IFERROR(INDEX(参照表!$B$29:$B$41,MATCH(B6,参照表!$A$29:$A$41,0)),"")</f>
        <v/>
      </c>
      <c r="G6" s="9">
        <f>IFERROR(INDEX(参照表!$B$46:$B$53,MATCH(C6,参照表!$A$46:$A$53,0)),"")</f>
        <v/>
      </c>
      <c r="H6" s="9">
        <f>IF(D6="",1,IF(D6&gt;=60,0,SQRT((60-MAX(D6,30))/30)))</f>
        <v/>
      </c>
      <c r="I6" s="12">
        <f>IF(OR(F6="",G6=""),"",INT(ROUNDDOWN(ROUND(F6*G6*H6,6),1)+0.2+1E-9))</f>
        <v/>
      </c>
      <c r="J6" s="11">
        <f>IF(OR(I6="",E6=""),"",IF(E6&lt;=I6,"OK","NG"))</f>
        <v/>
      </c>
    </row>
    <row r="7">
      <c r="A7" s="6" t="n"/>
      <c r="B7" s="6" t="n"/>
      <c r="C7" s="6" t="n"/>
      <c r="D7" s="6" t="n"/>
      <c r="E7" s="6" t="n"/>
      <c r="F7" s="12">
        <f>IFERROR(INDEX(参照表!$B$29:$B$41,MATCH(B7,参照表!$A$29:$A$41,0)),"")</f>
        <v/>
      </c>
      <c r="G7" s="9">
        <f>IFERROR(INDEX(参照表!$B$46:$B$53,MATCH(C7,参照表!$A$46:$A$53,0)),"")</f>
        <v/>
      </c>
      <c r="H7" s="9">
        <f>IF(D7="",1,IF(D7&gt;=60,0,SQRT((60-MAX(D7,30))/30)))</f>
        <v/>
      </c>
      <c r="I7" s="12">
        <f>IF(OR(F7="",G7=""),"",INT(ROUNDDOWN(ROUND(F7*G7*H7,6),1)+0.2+1E-9))</f>
        <v/>
      </c>
      <c r="J7" s="11">
        <f>IF(OR(I7="",E7=""),"",IF(E7&lt;=I7,"OK","NG"))</f>
        <v/>
      </c>
    </row>
    <row r="8">
      <c r="A8" s="6" t="n"/>
      <c r="B8" s="6" t="n"/>
      <c r="C8" s="6" t="n"/>
      <c r="D8" s="6" t="n"/>
      <c r="E8" s="6" t="n"/>
      <c r="F8" s="12">
        <f>IFERROR(INDEX(参照表!$B$29:$B$41,MATCH(B8,参照表!$A$29:$A$41,0)),"")</f>
        <v/>
      </c>
      <c r="G8" s="9">
        <f>IFERROR(INDEX(参照表!$B$46:$B$53,MATCH(C8,参照表!$A$46:$A$53,0)),"")</f>
        <v/>
      </c>
      <c r="H8" s="9">
        <f>IF(D8="",1,IF(D8&gt;=60,0,SQRT((60-MAX(D8,30))/30)))</f>
        <v/>
      </c>
      <c r="I8" s="12">
        <f>IF(OR(F8="",G8=""),"",INT(ROUNDDOWN(ROUND(F8*G8*H8,6),1)+0.2+1E-9))</f>
        <v/>
      </c>
      <c r="J8" s="11">
        <f>IF(OR(I8="",E8=""),"",IF(E8&lt;=I8,"OK","NG"))</f>
        <v/>
      </c>
    </row>
    <row r="9">
      <c r="A9" s="6" t="n"/>
      <c r="B9" s="6" t="n"/>
      <c r="C9" s="6" t="n"/>
      <c r="D9" s="6" t="n"/>
      <c r="E9" s="6" t="n"/>
      <c r="F9" s="12">
        <f>IFERROR(INDEX(参照表!$B$29:$B$41,MATCH(B9,参照表!$A$29:$A$41,0)),"")</f>
        <v/>
      </c>
      <c r="G9" s="9">
        <f>IFERROR(INDEX(参照表!$B$46:$B$53,MATCH(C9,参照表!$A$46:$A$53,0)),"")</f>
        <v/>
      </c>
      <c r="H9" s="9">
        <f>IF(D9="",1,IF(D9&gt;=60,0,SQRT((60-MAX(D9,30))/30)))</f>
        <v/>
      </c>
      <c r="I9" s="12">
        <f>IF(OR(F9="",G9=""),"",INT(ROUNDDOWN(ROUND(F9*G9*H9,6),1)+0.2+1E-9))</f>
        <v/>
      </c>
      <c r="J9" s="11">
        <f>IF(OR(I9="",E9=""),"",IF(E9&lt;=I9,"OK","NG"))</f>
        <v/>
      </c>
    </row>
    <row r="10">
      <c r="A10" s="6" t="n"/>
      <c r="B10" s="6" t="n"/>
      <c r="C10" s="6" t="n"/>
      <c r="D10" s="6" t="n"/>
      <c r="E10" s="6" t="n"/>
      <c r="F10" s="12">
        <f>IFERROR(INDEX(参照表!$B$29:$B$41,MATCH(B10,参照表!$A$29:$A$41,0)),"")</f>
        <v/>
      </c>
      <c r="G10" s="9">
        <f>IFERROR(INDEX(参照表!$B$46:$B$53,MATCH(C10,参照表!$A$46:$A$53,0)),"")</f>
        <v/>
      </c>
      <c r="H10" s="9">
        <f>IF(D10="",1,IF(D10&gt;=60,0,SQRT((60-MAX(D10,30))/30)))</f>
        <v/>
      </c>
      <c r="I10" s="12">
        <f>IF(OR(F10="",G10=""),"",INT(ROUNDDOWN(ROUND(F10*G10*H10,6),1)+0.2+1E-9))</f>
        <v/>
      </c>
      <c r="J10" s="11">
        <f>IF(OR(I10="",E10=""),"",IF(E10&lt;=I10,"OK","NG"))</f>
        <v/>
      </c>
    </row>
    <row r="11">
      <c r="A11" s="6" t="n"/>
      <c r="B11" s="6" t="n"/>
      <c r="C11" s="6" t="n"/>
      <c r="D11" s="6" t="n"/>
      <c r="E11" s="6" t="n"/>
      <c r="F11" s="12">
        <f>IFERROR(INDEX(参照表!$B$29:$B$41,MATCH(B11,参照表!$A$29:$A$41,0)),"")</f>
        <v/>
      </c>
      <c r="G11" s="9">
        <f>IFERROR(INDEX(参照表!$B$46:$B$53,MATCH(C11,参照表!$A$46:$A$53,0)),"")</f>
        <v/>
      </c>
      <c r="H11" s="9">
        <f>IF(D11="",1,IF(D11&gt;=60,0,SQRT((60-MAX(D11,30))/30)))</f>
        <v/>
      </c>
      <c r="I11" s="12">
        <f>IF(OR(F11="",G11=""),"",INT(ROUNDDOWN(ROUND(F11*G11*H11,6),1)+0.2+1E-9))</f>
        <v/>
      </c>
      <c r="J11" s="11">
        <f>IF(OR(I11="",E11=""),"",IF(E11&lt;=I11,"OK","NG"))</f>
        <v/>
      </c>
    </row>
    <row r="12">
      <c r="A12" s="6" t="n"/>
      <c r="B12" s="6" t="n"/>
      <c r="C12" s="6" t="n"/>
      <c r="D12" s="6" t="n"/>
      <c r="E12" s="6" t="n"/>
      <c r="F12" s="12">
        <f>IFERROR(INDEX(参照表!$B$29:$B$41,MATCH(B12,参照表!$A$29:$A$41,0)),"")</f>
        <v/>
      </c>
      <c r="G12" s="9">
        <f>IFERROR(INDEX(参照表!$B$46:$B$53,MATCH(C12,参照表!$A$46:$A$53,0)),"")</f>
        <v/>
      </c>
      <c r="H12" s="9">
        <f>IF(D12="",1,IF(D12&gt;=60,0,SQRT((60-MAX(D12,30))/30)))</f>
        <v/>
      </c>
      <c r="I12" s="12">
        <f>IF(OR(F12="",G12=""),"",INT(ROUNDDOWN(ROUND(F12*G12*H12,6),1)+0.2+1E-9))</f>
        <v/>
      </c>
      <c r="J12" s="11">
        <f>IF(OR(I12="",E12=""),"",IF(E12&lt;=I12,"OK","NG"))</f>
        <v/>
      </c>
    </row>
    <row r="13">
      <c r="A13" s="6" t="n"/>
      <c r="B13" s="6" t="n"/>
      <c r="C13" s="6" t="n"/>
      <c r="D13" s="6" t="n"/>
      <c r="E13" s="6" t="n"/>
      <c r="F13" s="12">
        <f>IFERROR(INDEX(参照表!$B$29:$B$41,MATCH(B13,参照表!$A$29:$A$41,0)),"")</f>
        <v/>
      </c>
      <c r="G13" s="9">
        <f>IFERROR(INDEX(参照表!$B$46:$B$53,MATCH(C13,参照表!$A$46:$A$53,0)),"")</f>
        <v/>
      </c>
      <c r="H13" s="9">
        <f>IF(D13="",1,IF(D13&gt;=60,0,SQRT((60-MAX(D13,30))/30)))</f>
        <v/>
      </c>
      <c r="I13" s="12">
        <f>IF(OR(F13="",G13=""),"",INT(ROUNDDOWN(ROUND(F13*G13*H13,6),1)+0.2+1E-9))</f>
        <v/>
      </c>
      <c r="J13" s="11">
        <f>IF(OR(I13="",E13=""),"",IF(E13&lt;=I13,"OK","NG"))</f>
        <v/>
      </c>
    </row>
    <row r="14">
      <c r="A14" s="6" t="n"/>
      <c r="B14" s="6" t="n"/>
      <c r="C14" s="6" t="n"/>
      <c r="D14" s="6" t="n"/>
      <c r="E14" s="6" t="n"/>
      <c r="F14" s="12">
        <f>IFERROR(INDEX(参照表!$B$29:$B$41,MATCH(B14,参照表!$A$29:$A$41,0)),"")</f>
        <v/>
      </c>
      <c r="G14" s="9">
        <f>IFERROR(INDEX(参照表!$B$46:$B$53,MATCH(C14,参照表!$A$46:$A$53,0)),"")</f>
        <v/>
      </c>
      <c r="H14" s="9">
        <f>IF(D14="",1,IF(D14&gt;=60,0,SQRT((60-MAX(D14,30))/30)))</f>
        <v/>
      </c>
      <c r="I14" s="12">
        <f>IF(OR(F14="",G14=""),"",INT(ROUNDDOWN(ROUND(F14*G14*H14,6),1)+0.2+1E-9))</f>
        <v/>
      </c>
      <c r="J14" s="11">
        <f>IF(OR(I14="",E14=""),"",IF(E14&lt;=I14,"OK","NG"))</f>
        <v/>
      </c>
    </row>
    <row r="15">
      <c r="A15" s="6" t="n"/>
      <c r="B15" s="6" t="n"/>
      <c r="C15" s="6" t="n"/>
      <c r="D15" s="6" t="n"/>
      <c r="E15" s="6" t="n"/>
      <c r="F15" s="12">
        <f>IFERROR(INDEX(参照表!$B$29:$B$41,MATCH(B15,参照表!$A$29:$A$41,0)),"")</f>
        <v/>
      </c>
      <c r="G15" s="9">
        <f>IFERROR(INDEX(参照表!$B$46:$B$53,MATCH(C15,参照表!$A$46:$A$53,0)),"")</f>
        <v/>
      </c>
      <c r="H15" s="9">
        <f>IF(D15="",1,IF(D15&gt;=60,0,SQRT((60-MAX(D15,30))/30)))</f>
        <v/>
      </c>
      <c r="I15" s="12">
        <f>IF(OR(F15="",G15=""),"",INT(ROUNDDOWN(ROUND(F15*G15*H15,6),1)+0.2+1E-9))</f>
        <v/>
      </c>
      <c r="J15" s="11">
        <f>IF(OR(I15="",E15=""),"",IF(E15&lt;=I15,"OK","NG"))</f>
        <v/>
      </c>
    </row>
    <row r="16">
      <c r="A16" s="6" t="n"/>
      <c r="B16" s="6" t="n"/>
      <c r="C16" s="6" t="n"/>
      <c r="D16" s="6" t="n"/>
      <c r="E16" s="6" t="n"/>
      <c r="F16" s="12">
        <f>IFERROR(INDEX(参照表!$B$29:$B$41,MATCH(B16,参照表!$A$29:$A$41,0)),"")</f>
        <v/>
      </c>
      <c r="G16" s="9">
        <f>IFERROR(INDEX(参照表!$B$46:$B$53,MATCH(C16,参照表!$A$46:$A$53,0)),"")</f>
        <v/>
      </c>
      <c r="H16" s="9">
        <f>IF(D16="",1,IF(D16&gt;=60,0,SQRT((60-MAX(D16,30))/30)))</f>
        <v/>
      </c>
      <c r="I16" s="12">
        <f>IF(OR(F16="",G16=""),"",INT(ROUNDDOWN(ROUND(F16*G16*H16,6),1)+0.2+1E-9))</f>
        <v/>
      </c>
      <c r="J16" s="11">
        <f>IF(OR(I16="",E16=""),"",IF(E16&lt;=I16,"OK","NG"))</f>
        <v/>
      </c>
    </row>
    <row r="17">
      <c r="A17" s="6" t="n"/>
      <c r="B17" s="6" t="n"/>
      <c r="C17" s="6" t="n"/>
      <c r="D17" s="6" t="n"/>
      <c r="E17" s="6" t="n"/>
      <c r="F17" s="12">
        <f>IFERROR(INDEX(参照表!$B$29:$B$41,MATCH(B17,参照表!$A$29:$A$41,0)),"")</f>
        <v/>
      </c>
      <c r="G17" s="9">
        <f>IFERROR(INDEX(参照表!$B$46:$B$53,MATCH(C17,参照表!$A$46:$A$53,0)),"")</f>
        <v/>
      </c>
      <c r="H17" s="9">
        <f>IF(D17="",1,IF(D17&gt;=60,0,SQRT((60-MAX(D17,30))/30)))</f>
        <v/>
      </c>
      <c r="I17" s="12">
        <f>IF(OR(F17="",G17=""),"",INT(ROUNDDOWN(ROUND(F17*G17*H17,6),1)+0.2+1E-9))</f>
        <v/>
      </c>
      <c r="J17" s="11">
        <f>IF(OR(I17="",E17=""),"",IF(E17&lt;=I17,"OK","NG"))</f>
        <v/>
      </c>
    </row>
    <row r="18">
      <c r="A18" s="6" t="n"/>
      <c r="B18" s="6" t="n"/>
      <c r="C18" s="6" t="n"/>
      <c r="D18" s="6" t="n"/>
      <c r="E18" s="6" t="n"/>
      <c r="F18" s="12">
        <f>IFERROR(INDEX(参照表!$B$29:$B$41,MATCH(B18,参照表!$A$29:$A$41,0)),"")</f>
        <v/>
      </c>
      <c r="G18" s="9">
        <f>IFERROR(INDEX(参照表!$B$46:$B$53,MATCH(C18,参照表!$A$46:$A$53,0)),"")</f>
        <v/>
      </c>
      <c r="H18" s="9">
        <f>IF(D18="",1,IF(D18&gt;=60,0,SQRT((60-MAX(D18,30))/30)))</f>
        <v/>
      </c>
      <c r="I18" s="12">
        <f>IF(OR(F18="",G18=""),"",INT(ROUNDDOWN(ROUND(F18*G18*H18,6),1)+0.2+1E-9))</f>
        <v/>
      </c>
      <c r="J18" s="11">
        <f>IF(OR(I18="",E18=""),"",IF(E18&lt;=I18,"OK","NG"))</f>
        <v/>
      </c>
    </row>
    <row r="19">
      <c r="A19" s="6" t="n"/>
      <c r="B19" s="6" t="n"/>
      <c r="C19" s="6" t="n"/>
      <c r="D19" s="6" t="n"/>
      <c r="E19" s="6" t="n"/>
      <c r="F19" s="12">
        <f>IFERROR(INDEX(参照表!$B$29:$B$41,MATCH(B19,参照表!$A$29:$A$41,0)),"")</f>
        <v/>
      </c>
      <c r="G19" s="9">
        <f>IFERROR(INDEX(参照表!$B$46:$B$53,MATCH(C19,参照表!$A$46:$A$53,0)),"")</f>
        <v/>
      </c>
      <c r="H19" s="9">
        <f>IF(D19="",1,IF(D19&gt;=60,0,SQRT((60-MAX(D19,30))/30)))</f>
        <v/>
      </c>
      <c r="I19" s="12">
        <f>IF(OR(F19="",G19=""),"",INT(ROUNDDOWN(ROUND(F19*G19*H19,6),1)+0.2+1E-9))</f>
        <v/>
      </c>
      <c r="J19" s="11">
        <f>IF(OR(I19="",E19=""),"",IF(E19&lt;=I19,"OK","NG"))</f>
        <v/>
      </c>
    </row>
    <row r="20">
      <c r="A20" s="6" t="n"/>
      <c r="B20" s="6" t="n"/>
      <c r="C20" s="6" t="n"/>
      <c r="D20" s="6" t="n"/>
      <c r="E20" s="6" t="n"/>
      <c r="F20" s="12">
        <f>IFERROR(INDEX(参照表!$B$29:$B$41,MATCH(B20,参照表!$A$29:$A$41,0)),"")</f>
        <v/>
      </c>
      <c r="G20" s="9">
        <f>IFERROR(INDEX(参照表!$B$46:$B$53,MATCH(C20,参照表!$A$46:$A$53,0)),"")</f>
        <v/>
      </c>
      <c r="H20" s="9">
        <f>IF(D20="",1,IF(D20&gt;=60,0,SQRT((60-MAX(D20,30))/30)))</f>
        <v/>
      </c>
      <c r="I20" s="12">
        <f>IF(OR(F20="",G20=""),"",INT(ROUNDDOWN(ROUND(F20*G20*H20,6),1)+0.2+1E-9))</f>
        <v/>
      </c>
      <c r="J20" s="11">
        <f>IF(OR(I20="",E20=""),"",IF(E20&lt;=I20,"OK","NG"))</f>
        <v/>
      </c>
    </row>
    <row r="22">
      <c r="A22" s="4" t="inlineStr">
        <is>
          <t>※7捨8入: 小数点以下1位が7以下は切り捨て、8以上は切り上げ（例 27×0.70=18.9→19A）</t>
        </is>
      </c>
    </row>
    <row r="23">
      <c r="A23" s="4" t="inlineStr">
        <is>
          <t>【免責】本ツールは設計・積算の補助を目的とした概算ツールです。最終判断は最新の電気設備技術基準・同解釈・内線規程・メーカー資料・所轄電力会社の規定に基づき、有資格者が行ってください。</t>
        </is>
      </c>
    </row>
  </sheetData>
  <conditionalFormatting sqref="J6:J20">
    <cfRule type="cellIs" priority="1" operator="equal" dxfId="0">
      <formula>"NG"</formula>
    </cfRule>
    <cfRule type="cellIs" priority="2" operator="equal" dxfId="1">
      <formula>"OK"</formula>
    </cfRule>
  </conditionalFormatting>
  <dataValidations count="2">
    <dataValidation sqref="B6 B7 B8 B9 B10 B11 B12 B13 B14 B15 B16 B17 B18 B19 B20" showDropDown="0" showInputMessage="0" showErrorMessage="0" allowBlank="1" type="list">
      <formula1>=参照表!$A$29:$A$41</formula1>
    </dataValidation>
    <dataValidation sqref="C6 C7 C8 C9 C10 C11 C12 C13 C14 C15 C16 C17 C18 C19 C20" showDropDown="0" showInputMessage="0" showErrorMessage="0" allowBlank="1" type="list">
      <formula1>=参照表!$A$46:$A$53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材料拾い出し表（部屋・回路ごとに数量を入れると合計と材料費が出ます）</t>
        </is>
      </c>
    </row>
    <row r="2">
      <c r="A2" s="4" t="inlineStr">
        <is>
          <t>凡例: 黄色セル（青字）＝入力欄 ／ 水色セル＝自動計算 ／ それ以外は触らないでください</t>
        </is>
      </c>
    </row>
    <row r="5" ht="32" customHeight="1">
      <c r="A5" s="5" t="inlineStr">
        <is>
          <t>品名</t>
        </is>
      </c>
      <c r="B5" s="5" t="inlineStr">
        <is>
          <t>規格</t>
        </is>
      </c>
      <c r="C5" s="5" t="inlineStr">
        <is>
          <t>単位</t>
        </is>
      </c>
      <c r="D5" s="5" t="inlineStr">
        <is>
          <t>ロス率</t>
        </is>
      </c>
      <c r="E5" s="13" t="inlineStr">
        <is>
          <t>1F LDK</t>
        </is>
      </c>
      <c r="F5" s="13" t="inlineStr">
        <is>
          <t>1F 水回り</t>
        </is>
      </c>
      <c r="G5" s="13" t="inlineStr">
        <is>
          <t>2F 洋室</t>
        </is>
      </c>
      <c r="H5" s="13" t="inlineStr">
        <is>
          <t>屋外</t>
        </is>
      </c>
      <c r="I5" s="13" t="inlineStr">
        <is>
          <t>区画5</t>
        </is>
      </c>
      <c r="J5" s="13" t="inlineStr">
        <is>
          <t>区画6</t>
        </is>
      </c>
      <c r="K5" s="13" t="inlineStr">
        <is>
          <t>区画7</t>
        </is>
      </c>
      <c r="L5" s="13" t="inlineStr">
        <is>
          <t>区画8</t>
        </is>
      </c>
      <c r="M5" s="5" t="inlineStr">
        <is>
          <t>合計数量</t>
        </is>
      </c>
      <c r="N5" s="5" t="inlineStr">
        <is>
          <t>単価
円</t>
        </is>
      </c>
      <c r="O5" s="5" t="inlineStr">
        <is>
          <t>金額
円</t>
        </is>
      </c>
    </row>
    <row r="6">
      <c r="A6" s="6" t="inlineStr">
        <is>
          <t>VVFケーブル</t>
        </is>
      </c>
      <c r="B6" s="6" t="inlineStr">
        <is>
          <t>2.0-3C</t>
        </is>
      </c>
      <c r="C6" s="6" t="inlineStr">
        <is>
          <t>m</t>
        </is>
      </c>
      <c r="D6" s="14" t="n">
        <v>0.1</v>
      </c>
      <c r="E6" s="6" t="n">
        <v>18</v>
      </c>
      <c r="F6" s="6" t="n">
        <v>6</v>
      </c>
      <c r="G6" s="6" t="n">
        <v>22</v>
      </c>
      <c r="H6" s="6" t="n">
        <v>5</v>
      </c>
      <c r="I6" s="6" t="n"/>
      <c r="J6" s="6" t="n"/>
      <c r="K6" s="6" t="n"/>
      <c r="L6" s="6" t="n"/>
      <c r="M6" s="15">
        <f>IF(COUNT(E6:L6)=0,"",ROUNDUP(ROUND(SUM(E6:L6)*(1+N(D6)),6),0))</f>
        <v/>
      </c>
      <c r="N6" s="16" t="n">
        <v>185</v>
      </c>
      <c r="O6" s="15">
        <f>IF(OR(M6="",N6=""),"",M6*N6)</f>
        <v/>
      </c>
    </row>
    <row r="7">
      <c r="A7" s="6" t="inlineStr">
        <is>
          <t>VVFケーブル</t>
        </is>
      </c>
      <c r="B7" s="6" t="inlineStr">
        <is>
          <t>1.6-2C</t>
        </is>
      </c>
      <c r="C7" s="6" t="inlineStr">
        <is>
          <t>m</t>
        </is>
      </c>
      <c r="D7" s="14" t="n">
        <v>0.1</v>
      </c>
      <c r="E7" s="6" t="n">
        <v>30</v>
      </c>
      <c r="F7" s="6" t="n">
        <v>12</v>
      </c>
      <c r="G7" s="6" t="n">
        <v>25</v>
      </c>
      <c r="H7" s="6" t="n">
        <v>0</v>
      </c>
      <c r="I7" s="6" t="n"/>
      <c r="J7" s="6" t="n"/>
      <c r="K7" s="6" t="n"/>
      <c r="L7" s="6" t="n"/>
      <c r="M7" s="15">
        <f>IF(COUNT(E7:L7)=0,"",ROUNDUP(ROUND(SUM(E7:L7)*(1+N(D7)),6),0))</f>
        <v/>
      </c>
      <c r="N7" s="16" t="n">
        <v>95</v>
      </c>
      <c r="O7" s="15">
        <f>IF(OR(M7="",N7=""),"",M7*N7)</f>
        <v/>
      </c>
    </row>
    <row r="8">
      <c r="A8" s="6" t="inlineStr">
        <is>
          <t>埋込スイッチ</t>
        </is>
      </c>
      <c r="B8" s="6" t="inlineStr">
        <is>
          <t>片切</t>
        </is>
      </c>
      <c r="C8" s="6" t="inlineStr">
        <is>
          <t>個</t>
        </is>
      </c>
      <c r="D8" s="14" t="n">
        <v>0</v>
      </c>
      <c r="E8" s="6" t="n">
        <v>2</v>
      </c>
      <c r="F8" s="6" t="n">
        <v>1</v>
      </c>
      <c r="G8" s="6" t="n">
        <v>2</v>
      </c>
      <c r="H8" s="6" t="n">
        <v>0</v>
      </c>
      <c r="I8" s="6" t="n"/>
      <c r="J8" s="6" t="n"/>
      <c r="K8" s="6" t="n"/>
      <c r="L8" s="6" t="n"/>
      <c r="M8" s="15">
        <f>IF(COUNT(E8:L8)=0,"",ROUNDUP(ROUND(SUM(E8:L8)*(1+N(D8)),6),0))</f>
        <v/>
      </c>
      <c r="N8" s="16" t="n">
        <v>180</v>
      </c>
      <c r="O8" s="15">
        <f>IF(OR(M8="",N8=""),"",M8*N8)</f>
        <v/>
      </c>
    </row>
    <row r="9">
      <c r="A9" s="6" t="inlineStr">
        <is>
          <t>埋込コンセント</t>
        </is>
      </c>
      <c r="B9" s="6" t="inlineStr">
        <is>
          <t>2口 接地付</t>
        </is>
      </c>
      <c r="C9" s="6" t="inlineStr">
        <is>
          <t>個</t>
        </is>
      </c>
      <c r="D9" s="14" t="n">
        <v>0</v>
      </c>
      <c r="E9" s="6" t="n">
        <v>4</v>
      </c>
      <c r="F9" s="6" t="n">
        <v>2</v>
      </c>
      <c r="G9" s="6" t="n">
        <v>3</v>
      </c>
      <c r="H9" s="6" t="n">
        <v>1</v>
      </c>
      <c r="I9" s="6" t="n"/>
      <c r="J9" s="6" t="n"/>
      <c r="K9" s="6" t="n"/>
      <c r="L9" s="6" t="n"/>
      <c r="M9" s="15">
        <f>IF(COUNT(E9:L9)=0,"",ROUNDUP(ROUND(SUM(E9:L9)*(1+N(D9)),6),0))</f>
        <v/>
      </c>
      <c r="N9" s="16" t="n">
        <v>420</v>
      </c>
      <c r="O9" s="15">
        <f>IF(OR(M9="",N9=""),"",M9*N9)</f>
        <v/>
      </c>
    </row>
    <row r="10">
      <c r="A10" s="6" t="inlineStr">
        <is>
          <t>PF管</t>
        </is>
      </c>
      <c r="B10" s="6" t="inlineStr">
        <is>
          <t>16</t>
        </is>
      </c>
      <c r="C10" s="6" t="inlineStr">
        <is>
          <t>m</t>
        </is>
      </c>
      <c r="D10" s="14" t="n">
        <v>0.05</v>
      </c>
      <c r="E10" s="6" t="n">
        <v>0</v>
      </c>
      <c r="F10" s="6" t="n">
        <v>0</v>
      </c>
      <c r="G10" s="6" t="n">
        <v>0</v>
      </c>
      <c r="H10" s="6" t="n">
        <v>8</v>
      </c>
      <c r="I10" s="6" t="n"/>
      <c r="J10" s="6" t="n"/>
      <c r="K10" s="6" t="n"/>
      <c r="L10" s="6" t="n"/>
      <c r="M10" s="15">
        <f>IF(COUNT(E10:L10)=0,"",ROUNDUP(ROUND(SUM(E10:L10)*(1+N(D10)),6),0))</f>
        <v/>
      </c>
      <c r="N10" s="16" t="n">
        <v>60</v>
      </c>
      <c r="O10" s="15">
        <f>IF(OR(M10="",N10=""),"",M10*N10)</f>
        <v/>
      </c>
    </row>
    <row r="11">
      <c r="A11" s="6" t="n"/>
      <c r="B11" s="6" t="n"/>
      <c r="C11" s="6" t="n"/>
      <c r="D11" s="14" t="n"/>
      <c r="E11" s="6" t="n"/>
      <c r="F11" s="6" t="n"/>
      <c r="G11" s="6" t="n"/>
      <c r="H11" s="6" t="n"/>
      <c r="I11" s="6" t="n"/>
      <c r="J11" s="6" t="n"/>
      <c r="K11" s="6" t="n"/>
      <c r="L11" s="6" t="n"/>
      <c r="M11" s="15">
        <f>IF(COUNT(E11:L11)=0,"",ROUNDUP(ROUND(SUM(E11:L11)*(1+N(D11)),6),0))</f>
        <v/>
      </c>
      <c r="N11" s="16" t="n"/>
      <c r="O11" s="15">
        <f>IF(OR(M11="",N11=""),"",M11*N11)</f>
        <v/>
      </c>
    </row>
    <row r="12">
      <c r="A12" s="6" t="n"/>
      <c r="B12" s="6" t="n"/>
      <c r="C12" s="6" t="n"/>
      <c r="D12" s="14" t="n"/>
      <c r="E12" s="6" t="n"/>
      <c r="F12" s="6" t="n"/>
      <c r="G12" s="6" t="n"/>
      <c r="H12" s="6" t="n"/>
      <c r="I12" s="6" t="n"/>
      <c r="J12" s="6" t="n"/>
      <c r="K12" s="6" t="n"/>
      <c r="L12" s="6" t="n"/>
      <c r="M12" s="15">
        <f>IF(COUNT(E12:L12)=0,"",ROUNDUP(ROUND(SUM(E12:L12)*(1+N(D12)),6),0))</f>
        <v/>
      </c>
      <c r="N12" s="16" t="n"/>
      <c r="O12" s="15">
        <f>IF(OR(M12="",N12=""),"",M12*N12)</f>
        <v/>
      </c>
    </row>
    <row r="13">
      <c r="A13" s="6" t="n"/>
      <c r="B13" s="6" t="n"/>
      <c r="C13" s="6" t="n"/>
      <c r="D13" s="14" t="n"/>
      <c r="E13" s="6" t="n"/>
      <c r="F13" s="6" t="n"/>
      <c r="G13" s="6" t="n"/>
      <c r="H13" s="6" t="n"/>
      <c r="I13" s="6" t="n"/>
      <c r="J13" s="6" t="n"/>
      <c r="K13" s="6" t="n"/>
      <c r="L13" s="6" t="n"/>
      <c r="M13" s="15">
        <f>IF(COUNT(E13:L13)=0,"",ROUNDUP(ROUND(SUM(E13:L13)*(1+N(D13)),6),0))</f>
        <v/>
      </c>
      <c r="N13" s="16" t="n"/>
      <c r="O13" s="15">
        <f>IF(OR(M13="",N13=""),"",M13*N13)</f>
        <v/>
      </c>
    </row>
    <row r="14">
      <c r="A14" s="6" t="n"/>
      <c r="B14" s="6" t="n"/>
      <c r="C14" s="6" t="n"/>
      <c r="D14" s="14" t="n"/>
      <c r="E14" s="6" t="n"/>
      <c r="F14" s="6" t="n"/>
      <c r="G14" s="6" t="n"/>
      <c r="H14" s="6" t="n"/>
      <c r="I14" s="6" t="n"/>
      <c r="J14" s="6" t="n"/>
      <c r="K14" s="6" t="n"/>
      <c r="L14" s="6" t="n"/>
      <c r="M14" s="15">
        <f>IF(COUNT(E14:L14)=0,"",ROUNDUP(ROUND(SUM(E14:L14)*(1+N(D14)),6),0))</f>
        <v/>
      </c>
      <c r="N14" s="16" t="n"/>
      <c r="O14" s="15">
        <f>IF(OR(M14="",N14=""),"",M14*N14)</f>
        <v/>
      </c>
    </row>
    <row r="15">
      <c r="A15" s="6" t="n"/>
      <c r="B15" s="6" t="n"/>
      <c r="C15" s="6" t="n"/>
      <c r="D15" s="14" t="n"/>
      <c r="E15" s="6" t="n"/>
      <c r="F15" s="6" t="n"/>
      <c r="G15" s="6" t="n"/>
      <c r="H15" s="6" t="n"/>
      <c r="I15" s="6" t="n"/>
      <c r="J15" s="6" t="n"/>
      <c r="K15" s="6" t="n"/>
      <c r="L15" s="6" t="n"/>
      <c r="M15" s="15">
        <f>IF(COUNT(E15:L15)=0,"",ROUNDUP(ROUND(SUM(E15:L15)*(1+N(D15)),6),0))</f>
        <v/>
      </c>
      <c r="N15" s="16" t="n"/>
      <c r="O15" s="15">
        <f>IF(OR(M15="",N15=""),"",M15*N15)</f>
        <v/>
      </c>
    </row>
    <row r="16">
      <c r="A16" s="6" t="n"/>
      <c r="B16" s="6" t="n"/>
      <c r="C16" s="6" t="n"/>
      <c r="D16" s="14" t="n"/>
      <c r="E16" s="6" t="n"/>
      <c r="F16" s="6" t="n"/>
      <c r="G16" s="6" t="n"/>
      <c r="H16" s="6" t="n"/>
      <c r="I16" s="6" t="n"/>
      <c r="J16" s="6" t="n"/>
      <c r="K16" s="6" t="n"/>
      <c r="L16" s="6" t="n"/>
      <c r="M16" s="15">
        <f>IF(COUNT(E16:L16)=0,"",ROUNDUP(ROUND(SUM(E16:L16)*(1+N(D16)),6),0))</f>
        <v/>
      </c>
      <c r="N16" s="16" t="n"/>
      <c r="O16" s="15">
        <f>IF(OR(M16="",N16=""),"",M16*N16)</f>
        <v/>
      </c>
    </row>
    <row r="17">
      <c r="A17" s="6" t="n"/>
      <c r="B17" s="6" t="n"/>
      <c r="C17" s="6" t="n"/>
      <c r="D17" s="14" t="n"/>
      <c r="E17" s="6" t="n"/>
      <c r="F17" s="6" t="n"/>
      <c r="G17" s="6" t="n"/>
      <c r="H17" s="6" t="n"/>
      <c r="I17" s="6" t="n"/>
      <c r="J17" s="6" t="n"/>
      <c r="K17" s="6" t="n"/>
      <c r="L17" s="6" t="n"/>
      <c r="M17" s="15">
        <f>IF(COUNT(E17:L17)=0,"",ROUNDUP(ROUND(SUM(E17:L17)*(1+N(D17)),6),0))</f>
        <v/>
      </c>
      <c r="N17" s="16" t="n"/>
      <c r="O17" s="15">
        <f>IF(OR(M17="",N17=""),"",M17*N17)</f>
        <v/>
      </c>
    </row>
    <row r="18">
      <c r="A18" s="6" t="n"/>
      <c r="B18" s="6" t="n"/>
      <c r="C18" s="6" t="n"/>
      <c r="D18" s="14" t="n"/>
      <c r="E18" s="6" t="n"/>
      <c r="F18" s="6" t="n"/>
      <c r="G18" s="6" t="n"/>
      <c r="H18" s="6" t="n"/>
      <c r="I18" s="6" t="n"/>
      <c r="J18" s="6" t="n"/>
      <c r="K18" s="6" t="n"/>
      <c r="L18" s="6" t="n"/>
      <c r="M18" s="15">
        <f>IF(COUNT(E18:L18)=0,"",ROUNDUP(ROUND(SUM(E18:L18)*(1+N(D18)),6),0))</f>
        <v/>
      </c>
      <c r="N18" s="16" t="n"/>
      <c r="O18" s="15">
        <f>IF(OR(M18="",N18=""),"",M18*N18)</f>
        <v/>
      </c>
    </row>
    <row r="19">
      <c r="A19" s="6" t="n"/>
      <c r="B19" s="6" t="n"/>
      <c r="C19" s="6" t="n"/>
      <c r="D19" s="14" t="n"/>
      <c r="E19" s="6" t="n"/>
      <c r="F19" s="6" t="n"/>
      <c r="G19" s="6" t="n"/>
      <c r="H19" s="6" t="n"/>
      <c r="I19" s="6" t="n"/>
      <c r="J19" s="6" t="n"/>
      <c r="K19" s="6" t="n"/>
      <c r="L19" s="6" t="n"/>
      <c r="M19" s="15">
        <f>IF(COUNT(E19:L19)=0,"",ROUNDUP(ROUND(SUM(E19:L19)*(1+N(D19)),6),0))</f>
        <v/>
      </c>
      <c r="N19" s="16" t="n"/>
      <c r="O19" s="15">
        <f>IF(OR(M19="",N19=""),"",M19*N19)</f>
        <v/>
      </c>
    </row>
    <row r="20">
      <c r="A20" s="6" t="n"/>
      <c r="B20" s="6" t="n"/>
      <c r="C20" s="6" t="n"/>
      <c r="D20" s="14" t="n"/>
      <c r="E20" s="6" t="n"/>
      <c r="F20" s="6" t="n"/>
      <c r="G20" s="6" t="n"/>
      <c r="H20" s="6" t="n"/>
      <c r="I20" s="6" t="n"/>
      <c r="J20" s="6" t="n"/>
      <c r="K20" s="6" t="n"/>
      <c r="L20" s="6" t="n"/>
      <c r="M20" s="15">
        <f>IF(COUNT(E20:L20)=0,"",ROUNDUP(ROUND(SUM(E20:L20)*(1+N(D20)),6),0))</f>
        <v/>
      </c>
      <c r="N20" s="16" t="n"/>
      <c r="O20" s="15">
        <f>IF(OR(M20="",N20=""),"",M20*N20)</f>
        <v/>
      </c>
    </row>
    <row r="21">
      <c r="A21" s="6" t="n"/>
      <c r="B21" s="6" t="n"/>
      <c r="C21" s="6" t="n"/>
      <c r="D21" s="14" t="n"/>
      <c r="E21" s="6" t="n"/>
      <c r="F21" s="6" t="n"/>
      <c r="G21" s="6" t="n"/>
      <c r="H21" s="6" t="n"/>
      <c r="I21" s="6" t="n"/>
      <c r="J21" s="6" t="n"/>
      <c r="K21" s="6" t="n"/>
      <c r="L21" s="6" t="n"/>
      <c r="M21" s="15">
        <f>IF(COUNT(E21:L21)=0,"",ROUNDUP(ROUND(SUM(E21:L21)*(1+N(D21)),6),0))</f>
        <v/>
      </c>
      <c r="N21" s="16" t="n"/>
      <c r="O21" s="15">
        <f>IF(OR(M21="",N21=""),"",M21*N21)</f>
        <v/>
      </c>
    </row>
    <row r="22">
      <c r="A22" s="6" t="n"/>
      <c r="B22" s="6" t="n"/>
      <c r="C22" s="6" t="n"/>
      <c r="D22" s="14" t="n"/>
      <c r="E22" s="6" t="n"/>
      <c r="F22" s="6" t="n"/>
      <c r="G22" s="6" t="n"/>
      <c r="H22" s="6" t="n"/>
      <c r="I22" s="6" t="n"/>
      <c r="J22" s="6" t="n"/>
      <c r="K22" s="6" t="n"/>
      <c r="L22" s="6" t="n"/>
      <c r="M22" s="15">
        <f>IF(COUNT(E22:L22)=0,"",ROUNDUP(ROUND(SUM(E22:L22)*(1+N(D22)),6),0))</f>
        <v/>
      </c>
      <c r="N22" s="16" t="n"/>
      <c r="O22" s="15">
        <f>IF(OR(M22="",N22=""),"",M22*N22)</f>
        <v/>
      </c>
    </row>
    <row r="23">
      <c r="A23" s="6" t="n"/>
      <c r="B23" s="6" t="n"/>
      <c r="C23" s="6" t="n"/>
      <c r="D23" s="14" t="n"/>
      <c r="E23" s="6" t="n"/>
      <c r="F23" s="6" t="n"/>
      <c r="G23" s="6" t="n"/>
      <c r="H23" s="6" t="n"/>
      <c r="I23" s="6" t="n"/>
      <c r="J23" s="6" t="n"/>
      <c r="K23" s="6" t="n"/>
      <c r="L23" s="6" t="n"/>
      <c r="M23" s="15">
        <f>IF(COUNT(E23:L23)=0,"",ROUNDUP(ROUND(SUM(E23:L23)*(1+N(D23)),6),0))</f>
        <v/>
      </c>
      <c r="N23" s="16" t="n"/>
      <c r="O23" s="15">
        <f>IF(OR(M23="",N23=""),"",M23*N23)</f>
        <v/>
      </c>
    </row>
    <row r="24">
      <c r="A24" s="6" t="n"/>
      <c r="B24" s="6" t="n"/>
      <c r="C24" s="6" t="n"/>
      <c r="D24" s="14" t="n"/>
      <c r="E24" s="6" t="n"/>
      <c r="F24" s="6" t="n"/>
      <c r="G24" s="6" t="n"/>
      <c r="H24" s="6" t="n"/>
      <c r="I24" s="6" t="n"/>
      <c r="J24" s="6" t="n"/>
      <c r="K24" s="6" t="n"/>
      <c r="L24" s="6" t="n"/>
      <c r="M24" s="15">
        <f>IF(COUNT(E24:L24)=0,"",ROUNDUP(ROUND(SUM(E24:L24)*(1+N(D24)),6),0))</f>
        <v/>
      </c>
      <c r="N24" s="16" t="n"/>
      <c r="O24" s="15">
        <f>IF(OR(M24="",N24=""),"",M24*N24)</f>
        <v/>
      </c>
    </row>
    <row r="25">
      <c r="A25" s="6" t="n"/>
      <c r="B25" s="6" t="n"/>
      <c r="C25" s="6" t="n"/>
      <c r="D25" s="14" t="n"/>
      <c r="E25" s="6" t="n"/>
      <c r="F25" s="6" t="n"/>
      <c r="G25" s="6" t="n"/>
      <c r="H25" s="6" t="n"/>
      <c r="I25" s="6" t="n"/>
      <c r="J25" s="6" t="n"/>
      <c r="K25" s="6" t="n"/>
      <c r="L25" s="6" t="n"/>
      <c r="M25" s="15">
        <f>IF(COUNT(E25:L25)=0,"",ROUNDUP(ROUND(SUM(E25:L25)*(1+N(D25)),6),0))</f>
        <v/>
      </c>
      <c r="N25" s="16" t="n"/>
      <c r="O25" s="15">
        <f>IF(OR(M25="",N25=""),"",M25*N25)</f>
        <v/>
      </c>
    </row>
    <row r="26">
      <c r="A26" s="6" t="n"/>
      <c r="B26" s="6" t="n"/>
      <c r="C26" s="6" t="n"/>
      <c r="D26" s="14" t="n"/>
      <c r="E26" s="6" t="n"/>
      <c r="F26" s="6" t="n"/>
      <c r="G26" s="6" t="n"/>
      <c r="H26" s="6" t="n"/>
      <c r="I26" s="6" t="n"/>
      <c r="J26" s="6" t="n"/>
      <c r="K26" s="6" t="n"/>
      <c r="L26" s="6" t="n"/>
      <c r="M26" s="15">
        <f>IF(COUNT(E26:L26)=0,"",ROUNDUP(ROUND(SUM(E26:L26)*(1+N(D26)),6),0))</f>
        <v/>
      </c>
      <c r="N26" s="16" t="n"/>
      <c r="O26" s="15">
        <f>IF(OR(M26="",N26=""),"",M26*N26)</f>
        <v/>
      </c>
    </row>
    <row r="27">
      <c r="A27" s="6" t="n"/>
      <c r="B27" s="6" t="n"/>
      <c r="C27" s="6" t="n"/>
      <c r="D27" s="14" t="n"/>
      <c r="E27" s="6" t="n"/>
      <c r="F27" s="6" t="n"/>
      <c r="G27" s="6" t="n"/>
      <c r="H27" s="6" t="n"/>
      <c r="I27" s="6" t="n"/>
      <c r="J27" s="6" t="n"/>
      <c r="K27" s="6" t="n"/>
      <c r="L27" s="6" t="n"/>
      <c r="M27" s="15">
        <f>IF(COUNT(E27:L27)=0,"",ROUNDUP(ROUND(SUM(E27:L27)*(1+N(D27)),6),0))</f>
        <v/>
      </c>
      <c r="N27" s="16" t="n"/>
      <c r="O27" s="15">
        <f>IF(OR(M27="",N27=""),"",M27*N27)</f>
        <v/>
      </c>
    </row>
    <row r="28">
      <c r="A28" s="6" t="n"/>
      <c r="B28" s="6" t="n"/>
      <c r="C28" s="6" t="n"/>
      <c r="D28" s="14" t="n"/>
      <c r="E28" s="6" t="n"/>
      <c r="F28" s="6" t="n"/>
      <c r="G28" s="6" t="n"/>
      <c r="H28" s="6" t="n"/>
      <c r="I28" s="6" t="n"/>
      <c r="J28" s="6" t="n"/>
      <c r="K28" s="6" t="n"/>
      <c r="L28" s="6" t="n"/>
      <c r="M28" s="15">
        <f>IF(COUNT(E28:L28)=0,"",ROUNDUP(ROUND(SUM(E28:L28)*(1+N(D28)),6),0))</f>
        <v/>
      </c>
      <c r="N28" s="16" t="n"/>
      <c r="O28" s="15">
        <f>IF(OR(M28="",N28=""),"",M28*N28)</f>
        <v/>
      </c>
    </row>
    <row r="29">
      <c r="A29" s="6" t="n"/>
      <c r="B29" s="6" t="n"/>
      <c r="C29" s="6" t="n"/>
      <c r="D29" s="14" t="n"/>
      <c r="E29" s="6" t="n"/>
      <c r="F29" s="6" t="n"/>
      <c r="G29" s="6" t="n"/>
      <c r="H29" s="6" t="n"/>
      <c r="I29" s="6" t="n"/>
      <c r="J29" s="6" t="n"/>
      <c r="K29" s="6" t="n"/>
      <c r="L29" s="6" t="n"/>
      <c r="M29" s="15">
        <f>IF(COUNT(E29:L29)=0,"",ROUNDUP(ROUND(SUM(E29:L29)*(1+N(D29)),6),0))</f>
        <v/>
      </c>
      <c r="N29" s="16" t="n"/>
      <c r="O29" s="15">
        <f>IF(OR(M29="",N29=""),"",M29*N29)</f>
        <v/>
      </c>
    </row>
    <row r="30">
      <c r="A30" s="6" t="n"/>
      <c r="B30" s="6" t="n"/>
      <c r="C30" s="6" t="n"/>
      <c r="D30" s="14" t="n"/>
      <c r="E30" s="6" t="n"/>
      <c r="F30" s="6" t="n"/>
      <c r="G30" s="6" t="n"/>
      <c r="H30" s="6" t="n"/>
      <c r="I30" s="6" t="n"/>
      <c r="J30" s="6" t="n"/>
      <c r="K30" s="6" t="n"/>
      <c r="L30" s="6" t="n"/>
      <c r="M30" s="15">
        <f>IF(COUNT(E30:L30)=0,"",ROUNDUP(ROUND(SUM(E30:L30)*(1+N(D30)),6),0))</f>
        <v/>
      </c>
      <c r="N30" s="16" t="n"/>
      <c r="O30" s="15">
        <f>IF(OR(M30="",N30=""),"",M30*N30)</f>
        <v/>
      </c>
    </row>
    <row r="31">
      <c r="A31" s="6" t="n"/>
      <c r="B31" s="6" t="n"/>
      <c r="C31" s="6" t="n"/>
      <c r="D31" s="14" t="n"/>
      <c r="E31" s="6" t="n"/>
      <c r="F31" s="6" t="n"/>
      <c r="G31" s="6" t="n"/>
      <c r="H31" s="6" t="n"/>
      <c r="I31" s="6" t="n"/>
      <c r="J31" s="6" t="n"/>
      <c r="K31" s="6" t="n"/>
      <c r="L31" s="6" t="n"/>
      <c r="M31" s="15">
        <f>IF(COUNT(E31:L31)=0,"",ROUNDUP(ROUND(SUM(E31:L31)*(1+N(D31)),6),0))</f>
        <v/>
      </c>
      <c r="N31" s="16" t="n"/>
      <c r="O31" s="15">
        <f>IF(OR(M31="",N31=""),"",M31*N31)</f>
        <v/>
      </c>
    </row>
    <row r="32">
      <c r="A32" s="6" t="n"/>
      <c r="B32" s="6" t="n"/>
      <c r="C32" s="6" t="n"/>
      <c r="D32" s="14" t="n"/>
      <c r="E32" s="6" t="n"/>
      <c r="F32" s="6" t="n"/>
      <c r="G32" s="6" t="n"/>
      <c r="H32" s="6" t="n"/>
      <c r="I32" s="6" t="n"/>
      <c r="J32" s="6" t="n"/>
      <c r="K32" s="6" t="n"/>
      <c r="L32" s="6" t="n"/>
      <c r="M32" s="15">
        <f>IF(COUNT(E32:L32)=0,"",ROUNDUP(ROUND(SUM(E32:L32)*(1+N(D32)),6),0))</f>
        <v/>
      </c>
      <c r="N32" s="16" t="n"/>
      <c r="O32" s="15">
        <f>IF(OR(M32="",N32=""),"",M32*N32)</f>
        <v/>
      </c>
    </row>
    <row r="33">
      <c r="A33" s="6" t="n"/>
      <c r="B33" s="6" t="n"/>
      <c r="C33" s="6" t="n"/>
      <c r="D33" s="14" t="n"/>
      <c r="E33" s="6" t="n"/>
      <c r="F33" s="6" t="n"/>
      <c r="G33" s="6" t="n"/>
      <c r="H33" s="6" t="n"/>
      <c r="I33" s="6" t="n"/>
      <c r="J33" s="6" t="n"/>
      <c r="K33" s="6" t="n"/>
      <c r="L33" s="6" t="n"/>
      <c r="M33" s="15">
        <f>IF(COUNT(E33:L33)=0,"",ROUNDUP(ROUND(SUM(E33:L33)*(1+N(D33)),6),0))</f>
        <v/>
      </c>
      <c r="N33" s="16" t="n"/>
      <c r="O33" s="15">
        <f>IF(OR(M33="",N33=""),"",M33*N33)</f>
        <v/>
      </c>
    </row>
    <row r="34">
      <c r="A34" s="6" t="n"/>
      <c r="B34" s="6" t="n"/>
      <c r="C34" s="6" t="n"/>
      <c r="D34" s="14" t="n"/>
      <c r="E34" s="6" t="n"/>
      <c r="F34" s="6" t="n"/>
      <c r="G34" s="6" t="n"/>
      <c r="H34" s="6" t="n"/>
      <c r="I34" s="6" t="n"/>
      <c r="J34" s="6" t="n"/>
      <c r="K34" s="6" t="n"/>
      <c r="L34" s="6" t="n"/>
      <c r="M34" s="15">
        <f>IF(COUNT(E34:L34)=0,"",ROUNDUP(ROUND(SUM(E34:L34)*(1+N(D34)),6),0))</f>
        <v/>
      </c>
      <c r="N34" s="16" t="n"/>
      <c r="O34" s="15">
        <f>IF(OR(M34="",N34=""),"",M34*N34)</f>
        <v/>
      </c>
    </row>
    <row r="35">
      <c r="A35" s="6" t="n"/>
      <c r="B35" s="6" t="n"/>
      <c r="C35" s="6" t="n"/>
      <c r="D35" s="14" t="n"/>
      <c r="E35" s="6" t="n"/>
      <c r="F35" s="6" t="n"/>
      <c r="G35" s="6" t="n"/>
      <c r="H35" s="6" t="n"/>
      <c r="I35" s="6" t="n"/>
      <c r="J35" s="6" t="n"/>
      <c r="K35" s="6" t="n"/>
      <c r="L35" s="6" t="n"/>
      <c r="M35" s="15">
        <f>IF(COUNT(E35:L35)=0,"",ROUNDUP(ROUND(SUM(E35:L35)*(1+N(D35)),6),0))</f>
        <v/>
      </c>
      <c r="N35" s="16" t="n"/>
      <c r="O35" s="15">
        <f>IF(OR(M35="",N35=""),"",M35*N35)</f>
        <v/>
      </c>
    </row>
    <row r="36">
      <c r="N36" s="17" t="inlineStr">
        <is>
          <t>材料費計</t>
        </is>
      </c>
      <c r="O36" s="18">
        <f>SUM(O6:O35)</f>
        <v/>
      </c>
    </row>
    <row r="38">
      <c r="A38" s="4" t="inlineStr">
        <is>
          <t>※例の単価はダミーです。仕入れ値に置き換えてください。ロス率は切断・端末処理分の割増し。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8" customWidth="1" min="4" max="4"/>
    <col width="6" customWidth="1" min="5" max="5"/>
    <col width="12" customWidth="1" min="6" max="6"/>
    <col width="14" customWidth="1" min="7" max="7"/>
  </cols>
  <sheetData>
    <row r="1">
      <c r="A1" s="19" t="inlineStr">
        <is>
          <t>御 見 積 書</t>
        </is>
      </c>
    </row>
    <row r="3">
      <c r="A3" s="20" t="inlineStr">
        <is>
          <t>宛先</t>
        </is>
      </c>
      <c r="B3" s="21" t="inlineStr">
        <is>
          <t>○○ 様</t>
        </is>
      </c>
      <c r="E3" s="20" t="inlineStr">
        <is>
          <t>見積日</t>
        </is>
      </c>
      <c r="F3" s="22">
        <f>TODAY()</f>
        <v/>
      </c>
    </row>
    <row r="4">
      <c r="A4" s="20" t="inlineStr">
        <is>
          <t>件名</t>
        </is>
      </c>
      <c r="B4" s="21" t="inlineStr">
        <is>
          <t>○○邸 電気設備工事</t>
        </is>
      </c>
      <c r="E4" s="20" t="inlineStr">
        <is>
          <t>有効期限</t>
        </is>
      </c>
      <c r="F4" s="21" t="inlineStr">
        <is>
          <t>発行日より30日</t>
        </is>
      </c>
    </row>
    <row r="6">
      <c r="A6" s="23" t="inlineStr">
        <is>
          <t>御見積金額（税込）</t>
        </is>
      </c>
      <c r="E6" s="20" t="inlineStr">
        <is>
          <t>会社名</t>
        </is>
      </c>
      <c r="F6" s="21" t="inlineStr">
        <is>
          <t>○○電設</t>
        </is>
      </c>
    </row>
    <row r="7">
      <c r="B7" s="24">
        <f>G34</f>
        <v/>
      </c>
      <c r="E7" s="20" t="inlineStr">
        <is>
          <t>登録番号</t>
        </is>
      </c>
      <c r="F7" s="21" t="inlineStr">
        <is>
          <t>T0000000000000</t>
        </is>
      </c>
    </row>
    <row r="8">
      <c r="E8" s="20" t="inlineStr">
        <is>
          <t>連絡先</t>
        </is>
      </c>
      <c r="F8" s="21" t="inlineStr">
        <is>
          <t>000-0000-0000</t>
        </is>
      </c>
    </row>
    <row r="11" ht="32" customHeight="1">
      <c r="A11" s="5" t="inlineStr">
        <is>
          <t>No</t>
        </is>
      </c>
      <c r="B11" s="5" t="inlineStr">
        <is>
          <t>品名・工事内容</t>
        </is>
      </c>
      <c r="C11" s="5" t="inlineStr">
        <is>
          <t>規格</t>
        </is>
      </c>
      <c r="D11" s="5" t="inlineStr">
        <is>
          <t>数量</t>
        </is>
      </c>
      <c r="E11" s="5" t="inlineStr">
        <is>
          <t>単位</t>
        </is>
      </c>
      <c r="F11" s="5" t="inlineStr">
        <is>
          <t>単価</t>
        </is>
      </c>
      <c r="G11" s="5" t="inlineStr">
        <is>
          <t>金額</t>
        </is>
      </c>
    </row>
    <row r="12">
      <c r="A12" s="25" t="n">
        <v>1</v>
      </c>
      <c r="B12" s="6" t="inlineStr">
        <is>
          <t>材料費一式（材料拾い表より）</t>
        </is>
      </c>
      <c r="C12" s="6" t="inlineStr"/>
      <c r="D12" s="6" t="n">
        <v>1</v>
      </c>
      <c r="E12" s="13" t="inlineStr">
        <is>
          <t>式</t>
        </is>
      </c>
      <c r="F12" s="16">
        <f>材料拾い!O36</f>
        <v/>
      </c>
      <c r="G12" s="15">
        <f>IF(OR(D12="",F12=""),"",ROUND(D12*F12,0))</f>
        <v/>
      </c>
    </row>
    <row r="13">
      <c r="A13" s="25" t="n">
        <v>2</v>
      </c>
      <c r="B13" s="6" t="inlineStr">
        <is>
          <t>配線工事（労務費）</t>
        </is>
      </c>
      <c r="C13" s="6" t="inlineStr">
        <is>
          <t>電工</t>
        </is>
      </c>
      <c r="D13" s="6" t="n">
        <v>2.5</v>
      </c>
      <c r="E13" s="13" t="inlineStr">
        <is>
          <t>人工</t>
        </is>
      </c>
      <c r="F13" s="16" t="n">
        <v>25000</v>
      </c>
      <c r="G13" s="15">
        <f>IF(OR(D13="",F13=""),"",ROUND(D13*F13,0))</f>
        <v/>
      </c>
    </row>
    <row r="14">
      <c r="A14" s="25" t="n">
        <v>3</v>
      </c>
      <c r="B14" s="6" t="inlineStr">
        <is>
          <t>器具取付費</t>
        </is>
      </c>
      <c r="C14" s="6" t="inlineStr"/>
      <c r="D14" s="6" t="n">
        <v>12</v>
      </c>
      <c r="E14" s="13" t="inlineStr">
        <is>
          <t>箇所</t>
        </is>
      </c>
      <c r="F14" s="16" t="n">
        <v>1500</v>
      </c>
      <c r="G14" s="15">
        <f>IF(OR(D14="",F14=""),"",ROUND(D14*F14,0))</f>
        <v/>
      </c>
    </row>
    <row r="15">
      <c r="A15" s="25" t="n">
        <v>4</v>
      </c>
      <c r="B15" s="6" t="inlineStr">
        <is>
          <t>諸経費</t>
        </is>
      </c>
      <c r="C15" s="6" t="inlineStr"/>
      <c r="D15" s="6" t="n">
        <v>1</v>
      </c>
      <c r="E15" s="13" t="inlineStr">
        <is>
          <t>式</t>
        </is>
      </c>
      <c r="F15" s="16" t="n">
        <v>8000</v>
      </c>
      <c r="G15" s="15">
        <f>IF(OR(D15="",F15=""),"",ROUND(D15*F15,0))</f>
        <v/>
      </c>
    </row>
    <row r="16">
      <c r="A16" s="25" t="n">
        <v>5</v>
      </c>
      <c r="B16" s="6" t="n"/>
      <c r="C16" s="6" t="n"/>
      <c r="D16" s="6" t="n"/>
      <c r="E16" s="13" t="n"/>
      <c r="F16" s="16" t="n"/>
      <c r="G16" s="15">
        <f>IF(OR(D16="",F16=""),"",ROUND(D16*F16,0))</f>
        <v/>
      </c>
    </row>
    <row r="17">
      <c r="A17" s="25" t="n">
        <v>6</v>
      </c>
      <c r="B17" s="6" t="n"/>
      <c r="C17" s="6" t="n"/>
      <c r="D17" s="6" t="n"/>
      <c r="E17" s="13" t="n"/>
      <c r="F17" s="16" t="n"/>
      <c r="G17" s="15">
        <f>IF(OR(D17="",F17=""),"",ROUND(D17*F17,0))</f>
        <v/>
      </c>
    </row>
    <row r="18">
      <c r="A18" s="25" t="n">
        <v>7</v>
      </c>
      <c r="B18" s="6" t="n"/>
      <c r="C18" s="6" t="n"/>
      <c r="D18" s="6" t="n"/>
      <c r="E18" s="13" t="n"/>
      <c r="F18" s="16" t="n"/>
      <c r="G18" s="15">
        <f>IF(OR(D18="",F18=""),"",ROUND(D18*F18,0))</f>
        <v/>
      </c>
    </row>
    <row r="19">
      <c r="A19" s="25" t="n">
        <v>8</v>
      </c>
      <c r="B19" s="6" t="n"/>
      <c r="C19" s="6" t="n"/>
      <c r="D19" s="6" t="n"/>
      <c r="E19" s="13" t="n"/>
      <c r="F19" s="16" t="n"/>
      <c r="G19" s="15">
        <f>IF(OR(D19="",F19=""),"",ROUND(D19*F19,0))</f>
        <v/>
      </c>
    </row>
    <row r="20">
      <c r="A20" s="25" t="n">
        <v>9</v>
      </c>
      <c r="B20" s="6" t="n"/>
      <c r="C20" s="6" t="n"/>
      <c r="D20" s="6" t="n"/>
      <c r="E20" s="13" t="n"/>
      <c r="F20" s="16" t="n"/>
      <c r="G20" s="15">
        <f>IF(OR(D20="",F20=""),"",ROUND(D20*F20,0))</f>
        <v/>
      </c>
    </row>
    <row r="21">
      <c r="A21" s="25" t="n">
        <v>10</v>
      </c>
      <c r="B21" s="6" t="n"/>
      <c r="C21" s="6" t="n"/>
      <c r="D21" s="6" t="n"/>
      <c r="E21" s="13" t="n"/>
      <c r="F21" s="16" t="n"/>
      <c r="G21" s="15">
        <f>IF(OR(D21="",F21=""),"",ROUND(D21*F21,0))</f>
        <v/>
      </c>
    </row>
    <row r="22">
      <c r="A22" s="25" t="n">
        <v>11</v>
      </c>
      <c r="B22" s="6" t="n"/>
      <c r="C22" s="6" t="n"/>
      <c r="D22" s="6" t="n"/>
      <c r="E22" s="13" t="n"/>
      <c r="F22" s="16" t="n"/>
      <c r="G22" s="15">
        <f>IF(OR(D22="",F22=""),"",ROUND(D22*F22,0))</f>
        <v/>
      </c>
    </row>
    <row r="23">
      <c r="A23" s="25" t="n">
        <v>12</v>
      </c>
      <c r="B23" s="6" t="n"/>
      <c r="C23" s="6" t="n"/>
      <c r="D23" s="6" t="n"/>
      <c r="E23" s="13" t="n"/>
      <c r="F23" s="16" t="n"/>
      <c r="G23" s="15">
        <f>IF(OR(D23="",F23=""),"",ROUND(D23*F23,0))</f>
        <v/>
      </c>
    </row>
    <row r="24">
      <c r="A24" s="25" t="n">
        <v>13</v>
      </c>
      <c r="B24" s="6" t="n"/>
      <c r="C24" s="6" t="n"/>
      <c r="D24" s="6" t="n"/>
      <c r="E24" s="13" t="n"/>
      <c r="F24" s="16" t="n"/>
      <c r="G24" s="15">
        <f>IF(OR(D24="",F24=""),"",ROUND(D24*F24,0))</f>
        <v/>
      </c>
    </row>
    <row r="25">
      <c r="A25" s="25" t="n">
        <v>14</v>
      </c>
      <c r="B25" s="6" t="n"/>
      <c r="C25" s="6" t="n"/>
      <c r="D25" s="6" t="n"/>
      <c r="E25" s="13" t="n"/>
      <c r="F25" s="16" t="n"/>
      <c r="G25" s="15">
        <f>IF(OR(D25="",F25=""),"",ROUND(D25*F25,0))</f>
        <v/>
      </c>
    </row>
    <row r="26">
      <c r="A26" s="25" t="n">
        <v>15</v>
      </c>
      <c r="B26" s="6" t="n"/>
      <c r="C26" s="6" t="n"/>
      <c r="D26" s="6" t="n"/>
      <c r="E26" s="13" t="n"/>
      <c r="F26" s="16" t="n"/>
      <c r="G26" s="15">
        <f>IF(OR(D26="",F26=""),"",ROUND(D26*F26,0))</f>
        <v/>
      </c>
    </row>
    <row r="27">
      <c r="A27" s="25" t="n">
        <v>16</v>
      </c>
      <c r="B27" s="6" t="n"/>
      <c r="C27" s="6" t="n"/>
      <c r="D27" s="6" t="n"/>
      <c r="E27" s="13" t="n"/>
      <c r="F27" s="16" t="n"/>
      <c r="G27" s="15">
        <f>IF(OR(D27="",F27=""),"",ROUND(D27*F27,0))</f>
        <v/>
      </c>
    </row>
    <row r="28">
      <c r="A28" s="25" t="n">
        <v>17</v>
      </c>
      <c r="B28" s="6" t="n"/>
      <c r="C28" s="6" t="n"/>
      <c r="D28" s="6" t="n"/>
      <c r="E28" s="13" t="n"/>
      <c r="F28" s="16" t="n"/>
      <c r="G28" s="15">
        <f>IF(OR(D28="",F28=""),"",ROUND(D28*F28,0))</f>
        <v/>
      </c>
    </row>
    <row r="29">
      <c r="A29" s="25" t="n">
        <v>18</v>
      </c>
      <c r="B29" s="6" t="n"/>
      <c r="C29" s="6" t="n"/>
      <c r="D29" s="6" t="n"/>
      <c r="E29" s="13" t="n"/>
      <c r="F29" s="16" t="n"/>
      <c r="G29" s="15">
        <f>IF(OR(D29="",F29=""),"",ROUND(D29*F29,0))</f>
        <v/>
      </c>
    </row>
    <row r="30">
      <c r="A30" s="25" t="n">
        <v>19</v>
      </c>
      <c r="B30" s="6" t="n"/>
      <c r="C30" s="6" t="n"/>
      <c r="D30" s="6" t="n"/>
      <c r="E30" s="13" t="n"/>
      <c r="F30" s="16" t="n"/>
      <c r="G30" s="15">
        <f>IF(OR(D30="",F30=""),"",ROUND(D30*F30,0))</f>
        <v/>
      </c>
    </row>
    <row r="31">
      <c r="A31" s="25" t="n">
        <v>20</v>
      </c>
      <c r="B31" s="6" t="n"/>
      <c r="C31" s="6" t="n"/>
      <c r="D31" s="6" t="n"/>
      <c r="E31" s="13" t="n"/>
      <c r="F31" s="16" t="n"/>
      <c r="G31" s="15">
        <f>IF(OR(D31="",F31=""),"",ROUND(D31*F31,0))</f>
        <v/>
      </c>
    </row>
    <row r="32">
      <c r="F32" s="17" t="inlineStr">
        <is>
          <t>小計</t>
        </is>
      </c>
      <c r="G32" s="18">
        <f>SUM(G12:G31)</f>
        <v/>
      </c>
    </row>
    <row r="33">
      <c r="E33" s="14" t="n">
        <v>0.1</v>
      </c>
      <c r="F33" s="17" t="inlineStr">
        <is>
          <t>消費税</t>
        </is>
      </c>
      <c r="G33" s="18">
        <f>ROUNDDOWN(G32*E33,0)</f>
        <v/>
      </c>
    </row>
    <row r="34">
      <c r="F34" s="17" t="inlineStr">
        <is>
          <t>合計</t>
        </is>
      </c>
      <c r="G34" s="18">
        <f>G32+G33</f>
        <v/>
      </c>
    </row>
    <row r="36">
      <c r="A36" s="23" t="inlineStr">
        <is>
          <t>備考</t>
        </is>
      </c>
      <c r="B36" s="26" t="inlineStr">
        <is>
          <t>・既設配線の不良等、追加工事が必要な場合は別途お見積りいたします。</t>
        </is>
      </c>
    </row>
    <row r="37"/>
    <row r="38"/>
  </sheetData>
  <mergeCells count="2">
    <mergeCell ref="B36:G38"/>
    <mergeCell ref="A1:G1"/>
  </mergeCell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参照表（計算シートから参照しています。数値を変える場合は最新の基準で確認のうえ）</t>
        </is>
      </c>
    </row>
    <row r="3">
      <c r="A3" s="23" t="inlineStr">
        <is>
          <t>① 配電方式と電圧降下の係数K（e = K×L×I ÷ (1000×A)）</t>
        </is>
      </c>
    </row>
    <row r="4" ht="32" customHeight="1">
      <c r="A4" s="5" t="inlineStr">
        <is>
          <t>配電方式</t>
        </is>
      </c>
      <c r="B4" s="5" t="inlineStr">
        <is>
          <t>係数K</t>
        </is>
      </c>
    </row>
    <row r="5">
      <c r="A5" s="27" t="inlineStr">
        <is>
          <t>単相2線式</t>
        </is>
      </c>
      <c r="B5" s="28" t="n">
        <v>35.6</v>
      </c>
      <c r="C5" s="4" t="inlineStr">
        <is>
          <t>単相3線式は中性線と外線の間の降下（平衡負荷）</t>
        </is>
      </c>
    </row>
    <row r="6">
      <c r="A6" s="27" t="inlineStr">
        <is>
          <t>単相3線式</t>
        </is>
      </c>
      <c r="B6" s="28" t="n">
        <v>17.8</v>
      </c>
    </row>
    <row r="7">
      <c r="A7" s="27" t="inlineStr">
        <is>
          <t>三相3線式</t>
        </is>
      </c>
      <c r="B7" s="28" t="n">
        <v>30.8</v>
      </c>
    </row>
    <row r="10">
      <c r="A10" s="23" t="inlineStr">
        <is>
          <t>② 標準電線断面積（mm²）</t>
        </is>
      </c>
    </row>
    <row r="11" ht="32" customHeight="1">
      <c r="A11" s="5" t="inlineStr">
        <is>
          <t>断面積mm²</t>
        </is>
      </c>
    </row>
    <row r="12">
      <c r="A12" s="27" t="n">
        <v>2</v>
      </c>
      <c r="B12" s="4" t="inlineStr">
        <is>
          <t>単線の断面積: 1.6mm=2.0 / 2.0mm=3.14 / 2.6mm=5.31 / 3.2mm=8.04 mm²</t>
        </is>
      </c>
    </row>
    <row r="13">
      <c r="A13" s="27" t="n">
        <v>3.5</v>
      </c>
    </row>
    <row r="14">
      <c r="A14" s="27" t="n">
        <v>5.5</v>
      </c>
    </row>
    <row r="15">
      <c r="A15" s="27" t="n">
        <v>8</v>
      </c>
    </row>
    <row r="16">
      <c r="A16" s="27" t="n">
        <v>14</v>
      </c>
    </row>
    <row r="17">
      <c r="A17" s="27" t="n">
        <v>22</v>
      </c>
    </row>
    <row r="18">
      <c r="A18" s="27" t="n">
        <v>38</v>
      </c>
    </row>
    <row r="19">
      <c r="A19" s="27" t="n">
        <v>60</v>
      </c>
    </row>
    <row r="20">
      <c r="A20" s="27" t="n">
        <v>100</v>
      </c>
    </row>
    <row r="21">
      <c r="A21" s="27" t="n">
        <v>150</v>
      </c>
    </row>
    <row r="22">
      <c r="A22" s="27" t="n">
        <v>200</v>
      </c>
    </row>
    <row r="23">
      <c r="A23" s="27" t="n">
        <v>250</v>
      </c>
    </row>
    <row r="24">
      <c r="A24" s="27" t="n">
        <v>325</v>
      </c>
    </row>
    <row r="27">
      <c r="A27" s="23" t="inlineStr">
        <is>
          <t>③ 許容電流（電技解釈 表146-1 基準値・周囲温度30℃）</t>
        </is>
      </c>
    </row>
    <row r="28" ht="32" customHeight="1">
      <c r="A28" s="5" t="inlineStr">
        <is>
          <t>電線</t>
        </is>
      </c>
      <c r="B28" s="5" t="inlineStr">
        <is>
          <t>許容電流A</t>
        </is>
      </c>
    </row>
    <row r="29">
      <c r="A29" s="27" t="inlineStr">
        <is>
          <t>単線 1.6mm</t>
        </is>
      </c>
      <c r="B29" s="27" t="n">
        <v>27</v>
      </c>
    </row>
    <row r="30">
      <c r="A30" s="27" t="inlineStr">
        <is>
          <t>単線 2.0mm</t>
        </is>
      </c>
      <c r="B30" s="27" t="n">
        <v>35</v>
      </c>
    </row>
    <row r="31">
      <c r="A31" s="27" t="inlineStr">
        <is>
          <t>単線 2.6mm</t>
        </is>
      </c>
      <c r="B31" s="27" t="n">
        <v>48</v>
      </c>
    </row>
    <row r="32">
      <c r="A32" s="27" t="inlineStr">
        <is>
          <t>単線 3.2mm</t>
        </is>
      </c>
      <c r="B32" s="27" t="n">
        <v>62</v>
      </c>
    </row>
    <row r="33">
      <c r="A33" s="27" t="inlineStr">
        <is>
          <t>より線 2mm²</t>
        </is>
      </c>
      <c r="B33" s="27" t="n">
        <v>27</v>
      </c>
    </row>
    <row r="34">
      <c r="A34" s="27" t="inlineStr">
        <is>
          <t>より線 3.5mm²</t>
        </is>
      </c>
      <c r="B34" s="27" t="n">
        <v>37</v>
      </c>
    </row>
    <row r="35">
      <c r="A35" s="27" t="inlineStr">
        <is>
          <t>より線 5.5mm²</t>
        </is>
      </c>
      <c r="B35" s="27" t="n">
        <v>49</v>
      </c>
    </row>
    <row r="36">
      <c r="A36" s="27" t="inlineStr">
        <is>
          <t>より線 8mm²</t>
        </is>
      </c>
      <c r="B36" s="27" t="n">
        <v>61</v>
      </c>
    </row>
    <row r="37">
      <c r="A37" s="27" t="inlineStr">
        <is>
          <t>より線 14mm²</t>
        </is>
      </c>
      <c r="B37" s="27" t="n">
        <v>88</v>
      </c>
    </row>
    <row r="38">
      <c r="A38" s="27" t="inlineStr">
        <is>
          <t>より線 22mm²</t>
        </is>
      </c>
      <c r="B38" s="27" t="n">
        <v>115</v>
      </c>
    </row>
    <row r="39">
      <c r="A39" s="27" t="inlineStr">
        <is>
          <t>より線 38mm²</t>
        </is>
      </c>
      <c r="B39" s="27" t="n">
        <v>162</v>
      </c>
    </row>
    <row r="40">
      <c r="A40" s="27" t="inlineStr">
        <is>
          <t>より線 60mm²</t>
        </is>
      </c>
      <c r="B40" s="27" t="n">
        <v>217</v>
      </c>
    </row>
    <row r="41">
      <c r="A41" s="27" t="inlineStr">
        <is>
          <t>より線 100mm²</t>
        </is>
      </c>
      <c r="B41" s="27" t="n">
        <v>298</v>
      </c>
    </row>
    <row r="44">
      <c r="A44" s="23" t="inlineStr">
        <is>
          <t>④ 電流減少係数（電技解釈 表146-3）</t>
        </is>
      </c>
    </row>
    <row r="45" ht="32" customHeight="1">
      <c r="A45" s="5" t="inlineStr">
        <is>
          <t>同一管内の電線数</t>
        </is>
      </c>
      <c r="B45" s="5" t="inlineStr">
        <is>
          <t>係数</t>
        </is>
      </c>
    </row>
    <row r="46">
      <c r="A46" s="27" t="inlineStr">
        <is>
          <t>管に収めない（がいし引き等）</t>
        </is>
      </c>
      <c r="B46" s="29" t="n">
        <v>1</v>
      </c>
    </row>
    <row r="47">
      <c r="A47" s="27" t="inlineStr">
        <is>
          <t>3本以下</t>
        </is>
      </c>
      <c r="B47" s="29" t="n">
        <v>0.7</v>
      </c>
    </row>
    <row r="48">
      <c r="A48" s="27" t="inlineStr">
        <is>
          <t>4本</t>
        </is>
      </c>
      <c r="B48" s="29" t="n">
        <v>0.63</v>
      </c>
    </row>
    <row r="49">
      <c r="A49" s="27" t="inlineStr">
        <is>
          <t>5〜6本</t>
        </is>
      </c>
      <c r="B49" s="29" t="n">
        <v>0.5600000000000001</v>
      </c>
    </row>
    <row r="50">
      <c r="A50" s="27" t="inlineStr">
        <is>
          <t>7〜15本</t>
        </is>
      </c>
      <c r="B50" s="29" t="n">
        <v>0.49</v>
      </c>
    </row>
    <row r="51">
      <c r="A51" s="27" t="inlineStr">
        <is>
          <t>16〜40本</t>
        </is>
      </c>
      <c r="B51" s="29" t="n">
        <v>0.43</v>
      </c>
    </row>
    <row r="52">
      <c r="A52" s="27" t="inlineStr">
        <is>
          <t>41〜60本</t>
        </is>
      </c>
      <c r="B52" s="29" t="n">
        <v>0.39</v>
      </c>
    </row>
    <row r="53">
      <c r="A53" s="27" t="inlineStr">
        <is>
          <t>61本以上</t>
        </is>
      </c>
      <c r="B53" s="29" t="n">
        <v>0.34</v>
      </c>
    </row>
    <row r="56">
      <c r="A56" s="23" t="inlineStr">
        <is>
          <t>⑤ 分岐回路（電技解釈 第149条）</t>
        </is>
      </c>
    </row>
    <row r="57" ht="32" customHeight="1">
      <c r="A57" s="5" t="inlineStr">
        <is>
          <t>過電流遮断器の定格</t>
        </is>
      </c>
      <c r="B57" s="5" t="inlineStr">
        <is>
          <t>電線の太さ</t>
        </is>
      </c>
      <c r="C57" s="5" t="inlineStr">
        <is>
          <t>コンセント定格</t>
        </is>
      </c>
    </row>
    <row r="58">
      <c r="A58" s="27" t="inlineStr">
        <is>
          <t>15A</t>
        </is>
      </c>
      <c r="B58" s="27" t="inlineStr">
        <is>
          <t>直径1.6mm以上</t>
        </is>
      </c>
      <c r="C58" s="27" t="inlineStr">
        <is>
          <t>15A以下</t>
        </is>
      </c>
    </row>
    <row r="59">
      <c r="A59" s="27" t="inlineStr">
        <is>
          <t>20A（配線用遮断器）</t>
        </is>
      </c>
      <c r="B59" s="27" t="inlineStr">
        <is>
          <t>直径1.6mm以上</t>
        </is>
      </c>
      <c r="C59" s="27" t="inlineStr">
        <is>
          <t>20A以下</t>
        </is>
      </c>
    </row>
    <row r="60">
      <c r="A60" s="27" t="inlineStr">
        <is>
          <t>20A（ヒューズ）</t>
        </is>
      </c>
      <c r="B60" s="27" t="inlineStr">
        <is>
          <t>直径2.0mm以上</t>
        </is>
      </c>
      <c r="C60" s="27" t="inlineStr">
        <is>
          <t>20A</t>
        </is>
      </c>
    </row>
    <row r="61">
      <c r="A61" s="27" t="inlineStr">
        <is>
          <t>30A</t>
        </is>
      </c>
      <c r="B61" s="27" t="inlineStr">
        <is>
          <t>直径2.6mm（5.5mm²）以上</t>
        </is>
      </c>
      <c r="C61" s="27" t="inlineStr">
        <is>
          <t>20A以上30A以下</t>
        </is>
      </c>
    </row>
    <row r="62">
      <c r="A62" s="27" t="inlineStr">
        <is>
          <t>40A</t>
        </is>
      </c>
      <c r="B62" s="27" t="inlineStr">
        <is>
          <t>8mm²以上</t>
        </is>
      </c>
      <c r="C62" s="27" t="inlineStr">
        <is>
          <t>30A以上40A以下</t>
        </is>
      </c>
    </row>
    <row r="63">
      <c r="A63" s="27" t="inlineStr">
        <is>
          <t>50A</t>
        </is>
      </c>
      <c r="B63" s="27" t="inlineStr">
        <is>
          <t>14mm²以上</t>
        </is>
      </c>
      <c r="C63" s="27" t="inlineStr">
        <is>
          <t>40A以上50A以下</t>
        </is>
      </c>
    </row>
    <row r="66">
      <c r="A66" s="23" t="inlineStr">
        <is>
          <t>⑥ 電圧降下の目安（内線規程 1310-1）</t>
        </is>
      </c>
    </row>
    <row r="67" ht="32" customHeight="1">
      <c r="A67" s="5" t="inlineStr">
        <is>
          <t>こう長</t>
        </is>
      </c>
      <c r="B67" s="5" t="inlineStr">
        <is>
          <t>低圧で受電</t>
        </is>
      </c>
      <c r="C67" s="5" t="inlineStr">
        <is>
          <t>変圧器から供給</t>
        </is>
      </c>
    </row>
    <row r="68">
      <c r="A68" s="27" t="inlineStr">
        <is>
          <t>60m以下</t>
        </is>
      </c>
      <c r="B68" s="30" t="n">
        <v>0.02</v>
      </c>
      <c r="C68" s="30" t="n">
        <v>0.03</v>
      </c>
    </row>
    <row r="69">
      <c r="A69" s="27" t="inlineStr">
        <is>
          <t>120m以下</t>
        </is>
      </c>
      <c r="B69" s="30" t="n">
        <v>0.04</v>
      </c>
      <c r="C69" s="30" t="n">
        <v>0.05</v>
      </c>
    </row>
    <row r="70">
      <c r="A70" s="27" t="inlineStr">
        <is>
          <t>200m以下</t>
        </is>
      </c>
      <c r="B70" s="30" t="n">
        <v>0.05</v>
      </c>
      <c r="C70" s="30" t="n">
        <v>0.06</v>
      </c>
    </row>
    <row r="71">
      <c r="A71" s="27" t="inlineStr">
        <is>
          <t>200m超過</t>
        </is>
      </c>
      <c r="B71" s="30" t="n">
        <v>0.06</v>
      </c>
      <c r="C71" s="30" t="n">
        <v>0.07000000000000001</v>
      </c>
    </row>
    <row r="73">
      <c r="A73" s="4" t="inlineStr">
        <is>
          <t>※こう長は供給点から最遠端の負荷までの電線のこう長。版により改定があるため最新版で確認してください。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2026-10-18T22:53:54Z</dcterms:created>
  <dcterms:modified xsi:type="dcterms:W3CDTF">2026-10-18T22:53:54Z</dcterms:modified>
</cp:coreProperties>
</file>