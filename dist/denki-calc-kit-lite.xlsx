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電圧降下" sheetId="2" state="visible" r:id="rId2"/>
    <sheet name="参照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7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sz val="10"/>
    </font>
    <font>
      <name val="Meiryo UI"/>
      <sz val="10"/>
    </font>
    <font>
      <name val="Meiryo UI"/>
      <color rgb="00666666"/>
      <sz val="9"/>
    </font>
    <font>
      <name val="Meiryo UI"/>
      <b val="1"/>
      <color rgb="00FFFFFF"/>
      <sz val="10"/>
    </font>
    <font>
      <name val="Meiryo UI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164" fontId="6" fillId="3" borderId="1" pivotButton="0" quotePrefix="0" xfId="0"/>
    <xf numFmtId="165" fontId="3" fillId="4" borderId="1" pivotButton="0" quotePrefix="0" xfId="0"/>
    <xf numFmtId="2" fontId="3" fillId="4" borderId="1" pivotButton="0" quotePrefix="0" xfId="0"/>
    <xf numFmtId="10" fontId="3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pivotButton="0" quotePrefix="0" xfId="0"/>
    <xf numFmtId="165" fontId="3" fillId="0" borderId="1" pivotButton="0" quotePrefix="0" xfId="0"/>
    <xf numFmtId="2" fontId="3" fillId="0" borderId="1" pivotButton="0" quotePrefix="0" xfId="0"/>
    <xf numFmtId="9" fontId="3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</patternFill>
      </fill>
    </dxf>
    <dxf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tool</author>
  </authors>
  <commentList>
    <comment ref="C5" authorId="0" shapeId="0">
      <text>
        <t>単相3線式は中性線との間の電圧（100V）を入力</t>
      </text>
    </comment>
    <comment ref="G5" authorId="0" shapeId="0">
      <text>
        <t>参照表⑥の内線規程の目安を参考に入力（例: 2%）</t>
      </text>
    </comment>
    <comment ref="M5" authorId="0" shapeId="0">
      <text>
        <t>許容降下率を満たす最小の標準断面積。許容電流の確認は別途「許容電流」シートで。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電気工事 現場計算ツールキット（無料版）  v1.0</t>
        </is>
      </c>
    </row>
    <row r="3">
      <c r="A3" s="2" t="inlineStr">
        <is>
          <t>■ 使い方</t>
        </is>
      </c>
    </row>
    <row r="4">
      <c r="A4" s="3" t="inlineStr">
        <is>
          <t>・黄色セル（青字）に入力すると、水色セルが自動計算されます。1行目の「例）」行は上書きしてOKです。</t>
        </is>
      </c>
    </row>
    <row r="5">
      <c r="A5" s="3" t="inlineStr">
        <is>
          <t>・プルダウンのあるセルはリストから選んでください。</t>
        </is>
      </c>
    </row>
    <row r="6">
      <c r="A6" s="3" t="inlineStr"/>
    </row>
    <row r="7">
      <c r="A7" s="2" t="inlineStr">
        <is>
          <t>■ シート構成</t>
        </is>
      </c>
    </row>
    <row r="8">
      <c r="A8" s="3" t="inlineStr">
        <is>
          <t>・電圧降下 …… 配電方式・電流・こう長・断面積から電圧降下/降下率を計算し、許容値を満たす推奨サイズを表示</t>
        </is>
      </c>
    </row>
    <row r="9">
      <c r="A9" s="3" t="inlineStr">
        <is>
          <t>・参照表 …… 計算に使う係数・基準値の一覧（出典つき）</t>
        </is>
      </c>
    </row>
    <row r="10">
      <c r="A10" s="3" t="inlineStr"/>
    </row>
    <row r="11">
      <c r="A11" s="2" t="inlineStr">
        <is>
          <t>■ 計算の根拠</t>
        </is>
      </c>
    </row>
    <row r="12">
      <c r="A12" s="3" t="inlineStr">
        <is>
          <t>・電圧降下: 内線規程の簡易式 e = K×L×I ÷ (1000×A)（銅線・力率1・平衡負荷を想定）</t>
        </is>
      </c>
    </row>
    <row r="13">
      <c r="A13" s="3" t="inlineStr"/>
    </row>
    <row r="14">
      <c r="A14" s="2" t="inlineStr">
        <is>
          <t>■ 製品版（有料）にはこちらも入っています</t>
        </is>
      </c>
    </row>
    <row r="15">
      <c r="A15" s="3" t="inlineStr">
        <is>
          <t>・許容電流の自動判定（電流減少係数・周囲温度補正）</t>
        </is>
      </c>
    </row>
    <row r="16">
      <c r="A16" s="3" t="inlineStr">
        <is>
          <t>・材料拾い出し表 → 見積書まで自動連動（インボイス対応）</t>
        </is>
      </c>
    </row>
    <row r="17">
      <c r="A17" s="3" t="inlineStr">
        <is>
          <t>・分岐回路の電線太さ・コンセント定格の早見表</t>
        </is>
      </c>
    </row>
    <row r="18">
      <c r="A18" s="3" t="inlineStr"/>
    </row>
    <row r="19">
      <c r="A19" s="3" t="inlineStr">
        <is>
          <t>【免責】本ツールは設計・積算の補助を目的とした概算ツールです。最終判断は最新の電気設備技術基準・同解釈・内線規程・メーカー資料・所轄電力会社の規定に基づき、有資格者が行ってください。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0" customWidth="1" min="7" max="7"/>
    <col width="8" customWidth="1" min="8" max="8"/>
    <col width="10" customWidth="1" min="9" max="9"/>
    <col width="9" customWidth="1" min="10" max="10"/>
    <col width="8" customWidth="1" min="11" max="11"/>
    <col width="11" customWidth="1" min="12" max="12"/>
    <col width="11" customWidth="1" min="13" max="13"/>
  </cols>
  <sheetData>
    <row r="1">
      <c r="A1" s="1" t="inlineStr">
        <is>
          <t>電圧降下・電線サイズ計算</t>
        </is>
      </c>
    </row>
    <row r="2">
      <c r="A2" s="4" t="inlineStr">
        <is>
          <t>凡例: 黄色セル（青字）＝入力欄 ／ 水色セル＝自動計算 ／ それ以外は触らないでください</t>
        </is>
      </c>
    </row>
    <row r="3">
      <c r="A3" s="4" t="inlineStr">
        <is>
          <t>e = K×L×I ÷ (1000×A)　K: 単相2線35.6／単相3線17.8／三相3線30.8（内線規程の簡易式・銅線）</t>
        </is>
      </c>
    </row>
    <row r="5" ht="32" customHeight="1">
      <c r="A5" s="5" t="inlineStr">
        <is>
          <t>回路名</t>
        </is>
      </c>
      <c r="B5" s="5" t="inlineStr">
        <is>
          <t>配電方式</t>
        </is>
      </c>
      <c r="C5" s="5" t="inlineStr">
        <is>
          <t>基準電圧
V</t>
        </is>
      </c>
      <c r="D5" s="5" t="inlineStr">
        <is>
          <t>電流
A</t>
        </is>
      </c>
      <c r="E5" s="5" t="inlineStr">
        <is>
          <t>こう長
m</t>
        </is>
      </c>
      <c r="F5" s="5" t="inlineStr">
        <is>
          <t>電線断面積
mm²</t>
        </is>
      </c>
      <c r="G5" s="5" t="inlineStr">
        <is>
          <t>許容降下率</t>
        </is>
      </c>
      <c r="H5" s="5" t="inlineStr">
        <is>
          <t>係数K</t>
        </is>
      </c>
      <c r="I5" s="5" t="inlineStr">
        <is>
          <t>電圧降下
V</t>
        </is>
      </c>
      <c r="J5" s="5" t="inlineStr">
        <is>
          <t>降下率</t>
        </is>
      </c>
      <c r="K5" s="5" t="inlineStr">
        <is>
          <t>判定</t>
        </is>
      </c>
      <c r="L5" s="5" t="inlineStr">
        <is>
          <t>必要断面積
mm²</t>
        </is>
      </c>
      <c r="M5" s="5" t="inlineStr">
        <is>
          <t>推奨サイズ
mm²</t>
        </is>
      </c>
    </row>
    <row r="6">
      <c r="A6" s="6" t="inlineStr">
        <is>
          <t>例）1F照明</t>
        </is>
      </c>
      <c r="B6" s="6" t="inlineStr">
        <is>
          <t>単相2線式</t>
        </is>
      </c>
      <c r="C6" s="6" t="n">
        <v>100</v>
      </c>
      <c r="D6" s="6" t="n">
        <v>12</v>
      </c>
      <c r="E6" s="6" t="n">
        <v>35</v>
      </c>
      <c r="F6" s="6" t="n">
        <v>3.5</v>
      </c>
      <c r="G6" s="7" t="n">
        <v>0.02</v>
      </c>
      <c r="H6" s="8">
        <f>IFERROR(INDEX(参照表!$B$5:$B$7,MATCH(B6,参照表!$A$5:$A$7,0)),"")</f>
        <v/>
      </c>
      <c r="I6" s="9">
        <f>IF(OR(B6="",D6="",E6="",F6="",N(F6)&lt;=0),"",H6*E6*D6/(1000*F6))</f>
        <v/>
      </c>
      <c r="J6" s="10">
        <f>IF(OR(I6="",C6="",N(C6)&lt;=0),"",I6/C6)</f>
        <v/>
      </c>
      <c r="K6" s="11">
        <f>IF(OR(J6="",G6=""),"",IF(J6&lt;=G6,"OK","NG"))</f>
        <v/>
      </c>
      <c r="L6" s="9">
        <f>IF(OR(H6="",D6="",E6="",C6="",G6="",N(C6)&lt;=0,N(G6)&lt;=0),"",H6*E6*D6/(1000*C6*G6))</f>
        <v/>
      </c>
      <c r="M6" s="11">
        <f>IF(L6="","",IF(L6&gt;MAX(参照表!$A$12:$A$24),"要検討",INDEX(参照表!$A$12:$A$24,COUNTIF(参照表!$A$12:$A$24,"&lt;"&amp;L6)+1)))</f>
        <v/>
      </c>
    </row>
    <row r="7">
      <c r="A7" s="6" t="n"/>
      <c r="B7" s="6" t="n"/>
      <c r="C7" s="6" t="n"/>
      <c r="D7" s="6" t="n"/>
      <c r="E7" s="6" t="n"/>
      <c r="F7" s="6" t="n"/>
      <c r="G7" s="7" t="n"/>
      <c r="H7" s="8">
        <f>IFERROR(INDEX(参照表!$B$5:$B$7,MATCH(B7,参照表!$A$5:$A$7,0)),"")</f>
        <v/>
      </c>
      <c r="I7" s="9">
        <f>IF(OR(B7="",D7="",E7="",F7="",N(F7)&lt;=0),"",H7*E7*D7/(1000*F7))</f>
        <v/>
      </c>
      <c r="J7" s="10">
        <f>IF(OR(I7="",C7="",N(C7)&lt;=0),"",I7/C7)</f>
        <v/>
      </c>
      <c r="K7" s="11">
        <f>IF(OR(J7="",G7=""),"",IF(J7&lt;=G7,"OK","NG"))</f>
        <v/>
      </c>
      <c r="L7" s="9">
        <f>IF(OR(H7="",D7="",E7="",C7="",G7="",N(C7)&lt;=0,N(G7)&lt;=0),"",H7*E7*D7/(1000*C7*G7))</f>
        <v/>
      </c>
      <c r="M7" s="11">
        <f>IF(L7="","",IF(L7&gt;MAX(参照表!$A$12:$A$24),"要検討",INDEX(参照表!$A$12:$A$24,COUNTIF(参照表!$A$12:$A$24,"&lt;"&amp;L7)+1)))</f>
        <v/>
      </c>
    </row>
    <row r="8">
      <c r="A8" s="6" t="n"/>
      <c r="B8" s="6" t="n"/>
      <c r="C8" s="6" t="n"/>
      <c r="D8" s="6" t="n"/>
      <c r="E8" s="6" t="n"/>
      <c r="F8" s="6" t="n"/>
      <c r="G8" s="7" t="n"/>
      <c r="H8" s="8">
        <f>IFERROR(INDEX(参照表!$B$5:$B$7,MATCH(B8,参照表!$A$5:$A$7,0)),"")</f>
        <v/>
      </c>
      <c r="I8" s="9">
        <f>IF(OR(B8="",D8="",E8="",F8="",N(F8)&lt;=0),"",H8*E8*D8/(1000*F8))</f>
        <v/>
      </c>
      <c r="J8" s="10">
        <f>IF(OR(I8="",C8="",N(C8)&lt;=0),"",I8/C8)</f>
        <v/>
      </c>
      <c r="K8" s="11">
        <f>IF(OR(J8="",G8=""),"",IF(J8&lt;=G8,"OK","NG"))</f>
        <v/>
      </c>
      <c r="L8" s="9">
        <f>IF(OR(H8="",D8="",E8="",C8="",G8="",N(C8)&lt;=0,N(G8)&lt;=0),"",H8*E8*D8/(1000*C8*G8))</f>
        <v/>
      </c>
      <c r="M8" s="11">
        <f>IF(L8="","",IF(L8&gt;MAX(参照表!$A$12:$A$24),"要検討",INDEX(参照表!$A$12:$A$24,COUNTIF(参照表!$A$12:$A$24,"&lt;"&amp;L8)+1)))</f>
        <v/>
      </c>
    </row>
    <row r="9">
      <c r="A9" s="6" t="n"/>
      <c r="B9" s="6" t="n"/>
      <c r="C9" s="6" t="n"/>
      <c r="D9" s="6" t="n"/>
      <c r="E9" s="6" t="n"/>
      <c r="F9" s="6" t="n"/>
      <c r="G9" s="7" t="n"/>
      <c r="H9" s="8">
        <f>IFERROR(INDEX(参照表!$B$5:$B$7,MATCH(B9,参照表!$A$5:$A$7,0)),"")</f>
        <v/>
      </c>
      <c r="I9" s="9">
        <f>IF(OR(B9="",D9="",E9="",F9="",N(F9)&lt;=0),"",H9*E9*D9/(1000*F9))</f>
        <v/>
      </c>
      <c r="J9" s="10">
        <f>IF(OR(I9="",C9="",N(C9)&lt;=0),"",I9/C9)</f>
        <v/>
      </c>
      <c r="K9" s="11">
        <f>IF(OR(J9="",G9=""),"",IF(J9&lt;=G9,"OK","NG"))</f>
        <v/>
      </c>
      <c r="L9" s="9">
        <f>IF(OR(H9="",D9="",E9="",C9="",G9="",N(C9)&lt;=0,N(G9)&lt;=0),"",H9*E9*D9/(1000*C9*G9))</f>
        <v/>
      </c>
      <c r="M9" s="11">
        <f>IF(L9="","",IF(L9&gt;MAX(参照表!$A$12:$A$24),"要検討",INDEX(参照表!$A$12:$A$24,COUNTIF(参照表!$A$12:$A$24,"&lt;"&amp;L9)+1)))</f>
        <v/>
      </c>
    </row>
    <row r="10">
      <c r="A10" s="6" t="n"/>
      <c r="B10" s="6" t="n"/>
      <c r="C10" s="6" t="n"/>
      <c r="D10" s="6" t="n"/>
      <c r="E10" s="6" t="n"/>
      <c r="F10" s="6" t="n"/>
      <c r="G10" s="7" t="n"/>
      <c r="H10" s="8">
        <f>IFERROR(INDEX(参照表!$B$5:$B$7,MATCH(B10,参照表!$A$5:$A$7,0)),"")</f>
        <v/>
      </c>
      <c r="I10" s="9">
        <f>IF(OR(B10="",D10="",E10="",F10="",N(F10)&lt;=0),"",H10*E10*D10/(1000*F10))</f>
        <v/>
      </c>
      <c r="J10" s="10">
        <f>IF(OR(I10="",C10="",N(C10)&lt;=0),"",I10/C10)</f>
        <v/>
      </c>
      <c r="K10" s="11">
        <f>IF(OR(J10="",G10=""),"",IF(J10&lt;=G10,"OK","NG"))</f>
        <v/>
      </c>
      <c r="L10" s="9">
        <f>IF(OR(H10="",D10="",E10="",C10="",G10="",N(C10)&lt;=0,N(G10)&lt;=0),"",H10*E10*D10/(1000*C10*G10))</f>
        <v/>
      </c>
      <c r="M10" s="11">
        <f>IF(L10="","",IF(L10&gt;MAX(参照表!$A$12:$A$24),"要検討",INDEX(参照表!$A$12:$A$24,COUNTIF(参照表!$A$12:$A$24,"&lt;"&amp;L10)+1)))</f>
        <v/>
      </c>
    </row>
    <row r="11">
      <c r="A11" s="6" t="n"/>
      <c r="B11" s="6" t="n"/>
      <c r="C11" s="6" t="n"/>
      <c r="D11" s="6" t="n"/>
      <c r="E11" s="6" t="n"/>
      <c r="F11" s="6" t="n"/>
      <c r="G11" s="7" t="n"/>
      <c r="H11" s="8">
        <f>IFERROR(INDEX(参照表!$B$5:$B$7,MATCH(B11,参照表!$A$5:$A$7,0)),"")</f>
        <v/>
      </c>
      <c r="I11" s="9">
        <f>IF(OR(B11="",D11="",E11="",F11="",N(F11)&lt;=0),"",H11*E11*D11/(1000*F11))</f>
        <v/>
      </c>
      <c r="J11" s="10">
        <f>IF(OR(I11="",C11="",N(C11)&lt;=0),"",I11/C11)</f>
        <v/>
      </c>
      <c r="K11" s="11">
        <f>IF(OR(J11="",G11=""),"",IF(J11&lt;=G11,"OK","NG"))</f>
        <v/>
      </c>
      <c r="L11" s="9">
        <f>IF(OR(H11="",D11="",E11="",C11="",G11="",N(C11)&lt;=0,N(G11)&lt;=0),"",H11*E11*D11/(1000*C11*G11))</f>
        <v/>
      </c>
      <c r="M11" s="11">
        <f>IF(L11="","",IF(L11&gt;MAX(参照表!$A$12:$A$24),"要検討",INDEX(参照表!$A$12:$A$24,COUNTIF(参照表!$A$12:$A$24,"&lt;"&amp;L11)+1)))</f>
        <v/>
      </c>
    </row>
    <row r="12">
      <c r="A12" s="6" t="n"/>
      <c r="B12" s="6" t="n"/>
      <c r="C12" s="6" t="n"/>
      <c r="D12" s="6" t="n"/>
      <c r="E12" s="6" t="n"/>
      <c r="F12" s="6" t="n"/>
      <c r="G12" s="7" t="n"/>
      <c r="H12" s="8">
        <f>IFERROR(INDEX(参照表!$B$5:$B$7,MATCH(B12,参照表!$A$5:$A$7,0)),"")</f>
        <v/>
      </c>
      <c r="I12" s="9">
        <f>IF(OR(B12="",D12="",E12="",F12="",N(F12)&lt;=0),"",H12*E12*D12/(1000*F12))</f>
        <v/>
      </c>
      <c r="J12" s="10">
        <f>IF(OR(I12="",C12="",N(C12)&lt;=0),"",I12/C12)</f>
        <v/>
      </c>
      <c r="K12" s="11">
        <f>IF(OR(J12="",G12=""),"",IF(J12&lt;=G12,"OK","NG"))</f>
        <v/>
      </c>
      <c r="L12" s="9">
        <f>IF(OR(H12="",D12="",E12="",C12="",G12="",N(C12)&lt;=0,N(G12)&lt;=0),"",H12*E12*D12/(1000*C12*G12))</f>
        <v/>
      </c>
      <c r="M12" s="11">
        <f>IF(L12="","",IF(L12&gt;MAX(参照表!$A$12:$A$24),"要検討",INDEX(参照表!$A$12:$A$24,COUNTIF(参照表!$A$12:$A$24,"&lt;"&amp;L12)+1)))</f>
        <v/>
      </c>
    </row>
    <row r="13">
      <c r="A13" s="6" t="n"/>
      <c r="B13" s="6" t="n"/>
      <c r="C13" s="6" t="n"/>
      <c r="D13" s="6" t="n"/>
      <c r="E13" s="6" t="n"/>
      <c r="F13" s="6" t="n"/>
      <c r="G13" s="7" t="n"/>
      <c r="H13" s="8">
        <f>IFERROR(INDEX(参照表!$B$5:$B$7,MATCH(B13,参照表!$A$5:$A$7,0)),"")</f>
        <v/>
      </c>
      <c r="I13" s="9">
        <f>IF(OR(B13="",D13="",E13="",F13="",N(F13)&lt;=0),"",H13*E13*D13/(1000*F13))</f>
        <v/>
      </c>
      <c r="J13" s="10">
        <f>IF(OR(I13="",C13="",N(C13)&lt;=0),"",I13/C13)</f>
        <v/>
      </c>
      <c r="K13" s="11">
        <f>IF(OR(J13="",G13=""),"",IF(J13&lt;=G13,"OK","NG"))</f>
        <v/>
      </c>
      <c r="L13" s="9">
        <f>IF(OR(H13="",D13="",E13="",C13="",G13="",N(C13)&lt;=0,N(G13)&lt;=0),"",H13*E13*D13/(1000*C13*G13))</f>
        <v/>
      </c>
      <c r="M13" s="11">
        <f>IF(L13="","",IF(L13&gt;MAX(参照表!$A$12:$A$24),"要検討",INDEX(参照表!$A$12:$A$24,COUNTIF(参照表!$A$12:$A$24,"&lt;"&amp;L13)+1)))</f>
        <v/>
      </c>
    </row>
    <row r="14">
      <c r="A14" s="6" t="n"/>
      <c r="B14" s="6" t="n"/>
      <c r="C14" s="6" t="n"/>
      <c r="D14" s="6" t="n"/>
      <c r="E14" s="6" t="n"/>
      <c r="F14" s="6" t="n"/>
      <c r="G14" s="7" t="n"/>
      <c r="H14" s="8">
        <f>IFERROR(INDEX(参照表!$B$5:$B$7,MATCH(B14,参照表!$A$5:$A$7,0)),"")</f>
        <v/>
      </c>
      <c r="I14" s="9">
        <f>IF(OR(B14="",D14="",E14="",F14="",N(F14)&lt;=0),"",H14*E14*D14/(1000*F14))</f>
        <v/>
      </c>
      <c r="J14" s="10">
        <f>IF(OR(I14="",C14="",N(C14)&lt;=0),"",I14/C14)</f>
        <v/>
      </c>
      <c r="K14" s="11">
        <f>IF(OR(J14="",G14=""),"",IF(J14&lt;=G14,"OK","NG"))</f>
        <v/>
      </c>
      <c r="L14" s="9">
        <f>IF(OR(H14="",D14="",E14="",C14="",G14="",N(C14)&lt;=0,N(G14)&lt;=0),"",H14*E14*D14/(1000*C14*G14))</f>
        <v/>
      </c>
      <c r="M14" s="11">
        <f>IF(L14="","",IF(L14&gt;MAX(参照表!$A$12:$A$24),"要検討",INDEX(参照表!$A$12:$A$24,COUNTIF(参照表!$A$12:$A$24,"&lt;"&amp;L14)+1)))</f>
        <v/>
      </c>
    </row>
    <row r="15">
      <c r="A15" s="6" t="n"/>
      <c r="B15" s="6" t="n"/>
      <c r="C15" s="6" t="n"/>
      <c r="D15" s="6" t="n"/>
      <c r="E15" s="6" t="n"/>
      <c r="F15" s="6" t="n"/>
      <c r="G15" s="7" t="n"/>
      <c r="H15" s="8">
        <f>IFERROR(INDEX(参照表!$B$5:$B$7,MATCH(B15,参照表!$A$5:$A$7,0)),"")</f>
        <v/>
      </c>
      <c r="I15" s="9">
        <f>IF(OR(B15="",D15="",E15="",F15="",N(F15)&lt;=0),"",H15*E15*D15/(1000*F15))</f>
        <v/>
      </c>
      <c r="J15" s="10">
        <f>IF(OR(I15="",C15="",N(C15)&lt;=0),"",I15/C15)</f>
        <v/>
      </c>
      <c r="K15" s="11">
        <f>IF(OR(J15="",G15=""),"",IF(J15&lt;=G15,"OK","NG"))</f>
        <v/>
      </c>
      <c r="L15" s="9">
        <f>IF(OR(H15="",D15="",E15="",C15="",G15="",N(C15)&lt;=0,N(G15)&lt;=0),"",H15*E15*D15/(1000*C15*G15))</f>
        <v/>
      </c>
      <c r="M15" s="11">
        <f>IF(L15="","",IF(L15&gt;MAX(参照表!$A$12:$A$24),"要検討",INDEX(参照表!$A$12:$A$24,COUNTIF(参照表!$A$12:$A$24,"&lt;"&amp;L15)+1)))</f>
        <v/>
      </c>
    </row>
    <row r="16">
      <c r="A16" s="6" t="n"/>
      <c r="B16" s="6" t="n"/>
      <c r="C16" s="6" t="n"/>
      <c r="D16" s="6" t="n"/>
      <c r="E16" s="6" t="n"/>
      <c r="F16" s="6" t="n"/>
      <c r="G16" s="7" t="n"/>
      <c r="H16" s="8">
        <f>IFERROR(INDEX(参照表!$B$5:$B$7,MATCH(B16,参照表!$A$5:$A$7,0)),"")</f>
        <v/>
      </c>
      <c r="I16" s="9">
        <f>IF(OR(B16="",D16="",E16="",F16="",N(F16)&lt;=0),"",H16*E16*D16/(1000*F16))</f>
        <v/>
      </c>
      <c r="J16" s="10">
        <f>IF(OR(I16="",C16="",N(C16)&lt;=0),"",I16/C16)</f>
        <v/>
      </c>
      <c r="K16" s="11">
        <f>IF(OR(J16="",G16=""),"",IF(J16&lt;=G16,"OK","NG"))</f>
        <v/>
      </c>
      <c r="L16" s="9">
        <f>IF(OR(H16="",D16="",E16="",C16="",G16="",N(C16)&lt;=0,N(G16)&lt;=0),"",H16*E16*D16/(1000*C16*G16))</f>
        <v/>
      </c>
      <c r="M16" s="11">
        <f>IF(L16="","",IF(L16&gt;MAX(参照表!$A$12:$A$24),"要検討",INDEX(参照表!$A$12:$A$24,COUNTIF(参照表!$A$12:$A$24,"&lt;"&amp;L16)+1)))</f>
        <v/>
      </c>
    </row>
    <row r="17">
      <c r="A17" s="6" t="n"/>
      <c r="B17" s="6" t="n"/>
      <c r="C17" s="6" t="n"/>
      <c r="D17" s="6" t="n"/>
      <c r="E17" s="6" t="n"/>
      <c r="F17" s="6" t="n"/>
      <c r="G17" s="7" t="n"/>
      <c r="H17" s="8">
        <f>IFERROR(INDEX(参照表!$B$5:$B$7,MATCH(B17,参照表!$A$5:$A$7,0)),"")</f>
        <v/>
      </c>
      <c r="I17" s="9">
        <f>IF(OR(B17="",D17="",E17="",F17="",N(F17)&lt;=0),"",H17*E17*D17/(1000*F17))</f>
        <v/>
      </c>
      <c r="J17" s="10">
        <f>IF(OR(I17="",C17="",N(C17)&lt;=0),"",I17/C17)</f>
        <v/>
      </c>
      <c r="K17" s="11">
        <f>IF(OR(J17="",G17=""),"",IF(J17&lt;=G17,"OK","NG"))</f>
        <v/>
      </c>
      <c r="L17" s="9">
        <f>IF(OR(H17="",D17="",E17="",C17="",G17="",N(C17)&lt;=0,N(G17)&lt;=0),"",H17*E17*D17/(1000*C17*G17))</f>
        <v/>
      </c>
      <c r="M17" s="11">
        <f>IF(L17="","",IF(L17&gt;MAX(参照表!$A$12:$A$24),"要検討",INDEX(参照表!$A$12:$A$24,COUNTIF(参照表!$A$12:$A$24,"&lt;"&amp;L17)+1)))</f>
        <v/>
      </c>
    </row>
    <row r="18">
      <c r="A18" s="6" t="n"/>
      <c r="B18" s="6" t="n"/>
      <c r="C18" s="6" t="n"/>
      <c r="D18" s="6" t="n"/>
      <c r="E18" s="6" t="n"/>
      <c r="F18" s="6" t="n"/>
      <c r="G18" s="7" t="n"/>
      <c r="H18" s="8">
        <f>IFERROR(INDEX(参照表!$B$5:$B$7,MATCH(B18,参照表!$A$5:$A$7,0)),"")</f>
        <v/>
      </c>
      <c r="I18" s="9">
        <f>IF(OR(B18="",D18="",E18="",F18="",N(F18)&lt;=0),"",H18*E18*D18/(1000*F18))</f>
        <v/>
      </c>
      <c r="J18" s="10">
        <f>IF(OR(I18="",C18="",N(C18)&lt;=0),"",I18/C18)</f>
        <v/>
      </c>
      <c r="K18" s="11">
        <f>IF(OR(J18="",G18=""),"",IF(J18&lt;=G18,"OK","NG"))</f>
        <v/>
      </c>
      <c r="L18" s="9">
        <f>IF(OR(H18="",D18="",E18="",C18="",G18="",N(C18)&lt;=0,N(G18)&lt;=0),"",H18*E18*D18/(1000*C18*G18))</f>
        <v/>
      </c>
      <c r="M18" s="11">
        <f>IF(L18="","",IF(L18&gt;MAX(参照表!$A$12:$A$24),"要検討",INDEX(参照表!$A$12:$A$24,COUNTIF(参照表!$A$12:$A$24,"&lt;"&amp;L18)+1)))</f>
        <v/>
      </c>
    </row>
    <row r="19">
      <c r="A19" s="6" t="n"/>
      <c r="B19" s="6" t="n"/>
      <c r="C19" s="6" t="n"/>
      <c r="D19" s="6" t="n"/>
      <c r="E19" s="6" t="n"/>
      <c r="F19" s="6" t="n"/>
      <c r="G19" s="7" t="n"/>
      <c r="H19" s="8">
        <f>IFERROR(INDEX(参照表!$B$5:$B$7,MATCH(B19,参照表!$A$5:$A$7,0)),"")</f>
        <v/>
      </c>
      <c r="I19" s="9">
        <f>IF(OR(B19="",D19="",E19="",F19="",N(F19)&lt;=0),"",H19*E19*D19/(1000*F19))</f>
        <v/>
      </c>
      <c r="J19" s="10">
        <f>IF(OR(I19="",C19="",N(C19)&lt;=0),"",I19/C19)</f>
        <v/>
      </c>
      <c r="K19" s="11">
        <f>IF(OR(J19="",G19=""),"",IF(J19&lt;=G19,"OK","NG"))</f>
        <v/>
      </c>
      <c r="L19" s="9">
        <f>IF(OR(H19="",D19="",E19="",C19="",G19="",N(C19)&lt;=0,N(G19)&lt;=0),"",H19*E19*D19/(1000*C19*G19))</f>
        <v/>
      </c>
      <c r="M19" s="11">
        <f>IF(L19="","",IF(L19&gt;MAX(参照表!$A$12:$A$24),"要検討",INDEX(参照表!$A$12:$A$24,COUNTIF(参照表!$A$12:$A$24,"&lt;"&amp;L19)+1)))</f>
        <v/>
      </c>
    </row>
    <row r="20">
      <c r="A20" s="6" t="n"/>
      <c r="B20" s="6" t="n"/>
      <c r="C20" s="6" t="n"/>
      <c r="D20" s="6" t="n"/>
      <c r="E20" s="6" t="n"/>
      <c r="F20" s="6" t="n"/>
      <c r="G20" s="7" t="n"/>
      <c r="H20" s="8">
        <f>IFERROR(INDEX(参照表!$B$5:$B$7,MATCH(B20,参照表!$A$5:$A$7,0)),"")</f>
        <v/>
      </c>
      <c r="I20" s="9">
        <f>IF(OR(B20="",D20="",E20="",F20="",N(F20)&lt;=0),"",H20*E20*D20/(1000*F20))</f>
        <v/>
      </c>
      <c r="J20" s="10">
        <f>IF(OR(I20="",C20="",N(C20)&lt;=0),"",I20/C20)</f>
        <v/>
      </c>
      <c r="K20" s="11">
        <f>IF(OR(J20="",G20=""),"",IF(J20&lt;=G20,"OK","NG"))</f>
        <v/>
      </c>
      <c r="L20" s="9">
        <f>IF(OR(H20="",D20="",E20="",C20="",G20="",N(C20)&lt;=0,N(G20)&lt;=0),"",H20*E20*D20/(1000*C20*G20))</f>
        <v/>
      </c>
      <c r="M20" s="11">
        <f>IF(L20="","",IF(L20&gt;MAX(参照表!$A$12:$A$24),"要検討",INDEX(参照表!$A$12:$A$24,COUNTIF(参照表!$A$12:$A$24,"&lt;"&amp;L20)+1)))</f>
        <v/>
      </c>
    </row>
    <row r="21">
      <c r="A21" s="6" t="n"/>
      <c r="B21" s="6" t="n"/>
      <c r="C21" s="6" t="n"/>
      <c r="D21" s="6" t="n"/>
      <c r="E21" s="6" t="n"/>
      <c r="F21" s="6" t="n"/>
      <c r="G21" s="7" t="n"/>
      <c r="H21" s="8">
        <f>IFERROR(INDEX(参照表!$B$5:$B$7,MATCH(B21,参照表!$A$5:$A$7,0)),"")</f>
        <v/>
      </c>
      <c r="I21" s="9">
        <f>IF(OR(B21="",D21="",E21="",F21="",N(F21)&lt;=0),"",H21*E21*D21/(1000*F21))</f>
        <v/>
      </c>
      <c r="J21" s="10">
        <f>IF(OR(I21="",C21="",N(C21)&lt;=0),"",I21/C21)</f>
        <v/>
      </c>
      <c r="K21" s="11">
        <f>IF(OR(J21="",G21=""),"",IF(J21&lt;=G21,"OK","NG"))</f>
        <v/>
      </c>
      <c r="L21" s="9">
        <f>IF(OR(H21="",D21="",E21="",C21="",G21="",N(C21)&lt;=0,N(G21)&lt;=0),"",H21*E21*D21/(1000*C21*G21))</f>
        <v/>
      </c>
      <c r="M21" s="11">
        <f>IF(L21="","",IF(L21&gt;MAX(参照表!$A$12:$A$24),"要検討",INDEX(参照表!$A$12:$A$24,COUNTIF(参照表!$A$12:$A$24,"&lt;"&amp;L21)+1)))</f>
        <v/>
      </c>
    </row>
    <row r="22">
      <c r="A22" s="6" t="n"/>
      <c r="B22" s="6" t="n"/>
      <c r="C22" s="6" t="n"/>
      <c r="D22" s="6" t="n"/>
      <c r="E22" s="6" t="n"/>
      <c r="F22" s="6" t="n"/>
      <c r="G22" s="7" t="n"/>
      <c r="H22" s="8">
        <f>IFERROR(INDEX(参照表!$B$5:$B$7,MATCH(B22,参照表!$A$5:$A$7,0)),"")</f>
        <v/>
      </c>
      <c r="I22" s="9">
        <f>IF(OR(B22="",D22="",E22="",F22="",N(F22)&lt;=0),"",H22*E22*D22/(1000*F22))</f>
        <v/>
      </c>
      <c r="J22" s="10">
        <f>IF(OR(I22="",C22="",N(C22)&lt;=0),"",I22/C22)</f>
        <v/>
      </c>
      <c r="K22" s="11">
        <f>IF(OR(J22="",G22=""),"",IF(J22&lt;=G22,"OK","NG"))</f>
        <v/>
      </c>
      <c r="L22" s="9">
        <f>IF(OR(H22="",D22="",E22="",C22="",G22="",N(C22)&lt;=0,N(G22)&lt;=0),"",H22*E22*D22/(1000*C22*G22))</f>
        <v/>
      </c>
      <c r="M22" s="11">
        <f>IF(L22="","",IF(L22&gt;MAX(参照表!$A$12:$A$24),"要検討",INDEX(参照表!$A$12:$A$24,COUNTIF(参照表!$A$12:$A$24,"&lt;"&amp;L22)+1)))</f>
        <v/>
      </c>
    </row>
    <row r="23">
      <c r="A23" s="6" t="n"/>
      <c r="B23" s="6" t="n"/>
      <c r="C23" s="6" t="n"/>
      <c r="D23" s="6" t="n"/>
      <c r="E23" s="6" t="n"/>
      <c r="F23" s="6" t="n"/>
      <c r="G23" s="7" t="n"/>
      <c r="H23" s="8">
        <f>IFERROR(INDEX(参照表!$B$5:$B$7,MATCH(B23,参照表!$A$5:$A$7,0)),"")</f>
        <v/>
      </c>
      <c r="I23" s="9">
        <f>IF(OR(B23="",D23="",E23="",F23="",N(F23)&lt;=0),"",H23*E23*D23/(1000*F23))</f>
        <v/>
      </c>
      <c r="J23" s="10">
        <f>IF(OR(I23="",C23="",N(C23)&lt;=0),"",I23/C23)</f>
        <v/>
      </c>
      <c r="K23" s="11">
        <f>IF(OR(J23="",G23=""),"",IF(J23&lt;=G23,"OK","NG"))</f>
        <v/>
      </c>
      <c r="L23" s="9">
        <f>IF(OR(H23="",D23="",E23="",C23="",G23="",N(C23)&lt;=0,N(G23)&lt;=0),"",H23*E23*D23/(1000*C23*G23))</f>
        <v/>
      </c>
      <c r="M23" s="11">
        <f>IF(L23="","",IF(L23&gt;MAX(参照表!$A$12:$A$24),"要検討",INDEX(参照表!$A$12:$A$24,COUNTIF(参照表!$A$12:$A$24,"&lt;"&amp;L23)+1)))</f>
        <v/>
      </c>
    </row>
    <row r="24">
      <c r="A24" s="6" t="n"/>
      <c r="B24" s="6" t="n"/>
      <c r="C24" s="6" t="n"/>
      <c r="D24" s="6" t="n"/>
      <c r="E24" s="6" t="n"/>
      <c r="F24" s="6" t="n"/>
      <c r="G24" s="7" t="n"/>
      <c r="H24" s="8">
        <f>IFERROR(INDEX(参照表!$B$5:$B$7,MATCH(B24,参照表!$A$5:$A$7,0)),"")</f>
        <v/>
      </c>
      <c r="I24" s="9">
        <f>IF(OR(B24="",D24="",E24="",F24="",N(F24)&lt;=0),"",H24*E24*D24/(1000*F24))</f>
        <v/>
      </c>
      <c r="J24" s="10">
        <f>IF(OR(I24="",C24="",N(C24)&lt;=0),"",I24/C24)</f>
        <v/>
      </c>
      <c r="K24" s="11">
        <f>IF(OR(J24="",G24=""),"",IF(J24&lt;=G24,"OK","NG"))</f>
        <v/>
      </c>
      <c r="L24" s="9">
        <f>IF(OR(H24="",D24="",E24="",C24="",G24="",N(C24)&lt;=0,N(G24)&lt;=0),"",H24*E24*D24/(1000*C24*G24))</f>
        <v/>
      </c>
      <c r="M24" s="11">
        <f>IF(L24="","",IF(L24&gt;MAX(参照表!$A$12:$A$24),"要検討",INDEX(参照表!$A$12:$A$24,COUNTIF(参照表!$A$12:$A$24,"&lt;"&amp;L24)+1)))</f>
        <v/>
      </c>
    </row>
    <row r="25">
      <c r="A25" s="6" t="n"/>
      <c r="B25" s="6" t="n"/>
      <c r="C25" s="6" t="n"/>
      <c r="D25" s="6" t="n"/>
      <c r="E25" s="6" t="n"/>
      <c r="F25" s="6" t="n"/>
      <c r="G25" s="7" t="n"/>
      <c r="H25" s="8">
        <f>IFERROR(INDEX(参照表!$B$5:$B$7,MATCH(B25,参照表!$A$5:$A$7,0)),"")</f>
        <v/>
      </c>
      <c r="I25" s="9">
        <f>IF(OR(B25="",D25="",E25="",F25="",N(F25)&lt;=0),"",H25*E25*D25/(1000*F25))</f>
        <v/>
      </c>
      <c r="J25" s="10">
        <f>IF(OR(I25="",C25="",N(C25)&lt;=0),"",I25/C25)</f>
        <v/>
      </c>
      <c r="K25" s="11">
        <f>IF(OR(J25="",G25=""),"",IF(J25&lt;=G25,"OK","NG"))</f>
        <v/>
      </c>
      <c r="L25" s="9">
        <f>IF(OR(H25="",D25="",E25="",C25="",G25="",N(C25)&lt;=0,N(G25)&lt;=0),"",H25*E25*D25/(1000*C25*G25))</f>
        <v/>
      </c>
      <c r="M25" s="11">
        <f>IF(L25="","",IF(L25&gt;MAX(参照表!$A$12:$A$24),"要検討",INDEX(参照表!$A$12:$A$24,COUNTIF(参照表!$A$12:$A$24,"&lt;"&amp;L25)+1)))</f>
        <v/>
      </c>
    </row>
    <row r="27">
      <c r="A27" s="4" t="inlineStr">
        <is>
          <t>【免責】本ツールは設計・積算の補助を目的とした概算ツールです。最終判断は最新の電気設備技術基準・同解釈・内線規程・メーカー資料・所轄電力会社の規定に基づき、有資格者が行ってください。</t>
        </is>
      </c>
    </row>
  </sheetData>
  <conditionalFormatting sqref="K6:K25">
    <cfRule type="cellIs" priority="1" operator="equal" dxfId="0">
      <formula>"NG"</formula>
    </cfRule>
    <cfRule type="cellIs" priority="2" operator="equal" dxfId="1">
      <formula>"OK"</formula>
    </cfRule>
  </conditionalFormatting>
  <dataValidations count="1">
    <dataValidation sqref="B6 B7 B8 B9 B10 B11 B12 B13 B14 B15 B16 B17 B18 B19 B20 B21 B22 B23 B24 B25" showDropDown="0" showInputMessage="0" showErrorMessage="0" allowBlank="1" type="list">
      <formula1>=参照表!$A$5:$A$7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参照表（計算シートから参照しています。数値を変える場合は最新の基準で確認のうえ）</t>
        </is>
      </c>
    </row>
    <row r="3">
      <c r="A3" s="12" t="inlineStr">
        <is>
          <t>① 配電方式と電圧降下の係数K（e = K×L×I ÷ (1000×A)）</t>
        </is>
      </c>
    </row>
    <row r="4" ht="32" customHeight="1">
      <c r="A4" s="5" t="inlineStr">
        <is>
          <t>配電方式</t>
        </is>
      </c>
      <c r="B4" s="5" t="inlineStr">
        <is>
          <t>係数K</t>
        </is>
      </c>
    </row>
    <row r="5">
      <c r="A5" s="13" t="inlineStr">
        <is>
          <t>単相2線式</t>
        </is>
      </c>
      <c r="B5" s="14" t="n">
        <v>35.6</v>
      </c>
      <c r="C5" s="4" t="inlineStr">
        <is>
          <t>単相3線式は中性線と外線の間の降下（平衡負荷）</t>
        </is>
      </c>
    </row>
    <row r="6">
      <c r="A6" s="13" t="inlineStr">
        <is>
          <t>単相3線式</t>
        </is>
      </c>
      <c r="B6" s="14" t="n">
        <v>17.8</v>
      </c>
    </row>
    <row r="7">
      <c r="A7" s="13" t="inlineStr">
        <is>
          <t>三相3線式</t>
        </is>
      </c>
      <c r="B7" s="14" t="n">
        <v>30.8</v>
      </c>
    </row>
    <row r="10">
      <c r="A10" s="12" t="inlineStr">
        <is>
          <t>② 標準電線断面積（mm²）</t>
        </is>
      </c>
    </row>
    <row r="11" ht="32" customHeight="1">
      <c r="A11" s="5" t="inlineStr">
        <is>
          <t>断面積mm²</t>
        </is>
      </c>
    </row>
    <row r="12">
      <c r="A12" s="13" t="n">
        <v>2</v>
      </c>
      <c r="B12" s="4" t="inlineStr">
        <is>
          <t>単線の断面積: 1.6mm=2.0 / 2.0mm=3.14 / 2.6mm=5.31 / 3.2mm=8.04 mm²</t>
        </is>
      </c>
    </row>
    <row r="13">
      <c r="A13" s="13" t="n">
        <v>3.5</v>
      </c>
    </row>
    <row r="14">
      <c r="A14" s="13" t="n">
        <v>5.5</v>
      </c>
    </row>
    <row r="15">
      <c r="A15" s="13" t="n">
        <v>8</v>
      </c>
    </row>
    <row r="16">
      <c r="A16" s="13" t="n">
        <v>14</v>
      </c>
    </row>
    <row r="17">
      <c r="A17" s="13" t="n">
        <v>22</v>
      </c>
    </row>
    <row r="18">
      <c r="A18" s="13" t="n">
        <v>38</v>
      </c>
    </row>
    <row r="19">
      <c r="A19" s="13" t="n">
        <v>60</v>
      </c>
    </row>
    <row r="20">
      <c r="A20" s="13" t="n">
        <v>100</v>
      </c>
    </row>
    <row r="21">
      <c r="A21" s="13" t="n">
        <v>150</v>
      </c>
    </row>
    <row r="22">
      <c r="A22" s="13" t="n">
        <v>200</v>
      </c>
    </row>
    <row r="23">
      <c r="A23" s="13" t="n">
        <v>250</v>
      </c>
    </row>
    <row r="24">
      <c r="A24" s="13" t="n">
        <v>325</v>
      </c>
    </row>
    <row r="27">
      <c r="A27" s="12" t="inlineStr">
        <is>
          <t>③ 許容電流（電技解釈 表146-1 基準値・周囲温度30℃）</t>
        </is>
      </c>
    </row>
    <row r="28" ht="32" customHeight="1">
      <c r="A28" s="5" t="inlineStr">
        <is>
          <t>電線</t>
        </is>
      </c>
      <c r="B28" s="5" t="inlineStr">
        <is>
          <t>許容電流A</t>
        </is>
      </c>
    </row>
    <row r="29">
      <c r="A29" s="13" t="inlineStr">
        <is>
          <t>単線 1.6mm</t>
        </is>
      </c>
      <c r="B29" s="13" t="n">
        <v>27</v>
      </c>
    </row>
    <row r="30">
      <c r="A30" s="13" t="inlineStr">
        <is>
          <t>単線 2.0mm</t>
        </is>
      </c>
      <c r="B30" s="13" t="n">
        <v>35</v>
      </c>
    </row>
    <row r="31">
      <c r="A31" s="13" t="inlineStr">
        <is>
          <t>単線 2.6mm</t>
        </is>
      </c>
      <c r="B31" s="13" t="n">
        <v>48</v>
      </c>
    </row>
    <row r="32">
      <c r="A32" s="13" t="inlineStr">
        <is>
          <t>単線 3.2mm</t>
        </is>
      </c>
      <c r="B32" s="13" t="n">
        <v>62</v>
      </c>
    </row>
    <row r="33">
      <c r="A33" s="13" t="inlineStr">
        <is>
          <t>より線 2mm²</t>
        </is>
      </c>
      <c r="B33" s="13" t="n">
        <v>27</v>
      </c>
    </row>
    <row r="34">
      <c r="A34" s="13" t="inlineStr">
        <is>
          <t>より線 3.5mm²</t>
        </is>
      </c>
      <c r="B34" s="13" t="n">
        <v>37</v>
      </c>
    </row>
    <row r="35">
      <c r="A35" s="13" t="inlineStr">
        <is>
          <t>より線 5.5mm²</t>
        </is>
      </c>
      <c r="B35" s="13" t="n">
        <v>49</v>
      </c>
    </row>
    <row r="36">
      <c r="A36" s="13" t="inlineStr">
        <is>
          <t>より線 8mm²</t>
        </is>
      </c>
      <c r="B36" s="13" t="n">
        <v>61</v>
      </c>
    </row>
    <row r="37">
      <c r="A37" s="13" t="inlineStr">
        <is>
          <t>より線 14mm²</t>
        </is>
      </c>
      <c r="B37" s="13" t="n">
        <v>88</v>
      </c>
    </row>
    <row r="38">
      <c r="A38" s="13" t="inlineStr">
        <is>
          <t>より線 22mm²</t>
        </is>
      </c>
      <c r="B38" s="13" t="n">
        <v>115</v>
      </c>
    </row>
    <row r="39">
      <c r="A39" s="13" t="inlineStr">
        <is>
          <t>より線 38mm²</t>
        </is>
      </c>
      <c r="B39" s="13" t="n">
        <v>162</v>
      </c>
    </row>
    <row r="40">
      <c r="A40" s="13" t="inlineStr">
        <is>
          <t>より線 60mm²</t>
        </is>
      </c>
      <c r="B40" s="13" t="n">
        <v>217</v>
      </c>
    </row>
    <row r="41">
      <c r="A41" s="13" t="inlineStr">
        <is>
          <t>より線 100mm²</t>
        </is>
      </c>
      <c r="B41" s="13" t="n">
        <v>298</v>
      </c>
    </row>
    <row r="44">
      <c r="A44" s="12" t="inlineStr">
        <is>
          <t>④ 電流減少係数（電技解釈 表146-3）</t>
        </is>
      </c>
    </row>
    <row r="45" ht="32" customHeight="1">
      <c r="A45" s="5" t="inlineStr">
        <is>
          <t>同一管内の電線数</t>
        </is>
      </c>
      <c r="B45" s="5" t="inlineStr">
        <is>
          <t>係数</t>
        </is>
      </c>
    </row>
    <row r="46">
      <c r="A46" s="13" t="inlineStr">
        <is>
          <t>管に収めない（がいし引き等）</t>
        </is>
      </c>
      <c r="B46" s="15" t="n">
        <v>1</v>
      </c>
    </row>
    <row r="47">
      <c r="A47" s="13" t="inlineStr">
        <is>
          <t>3本以下</t>
        </is>
      </c>
      <c r="B47" s="15" t="n">
        <v>0.7</v>
      </c>
    </row>
    <row r="48">
      <c r="A48" s="13" t="inlineStr">
        <is>
          <t>4本</t>
        </is>
      </c>
      <c r="B48" s="15" t="n">
        <v>0.63</v>
      </c>
    </row>
    <row r="49">
      <c r="A49" s="13" t="inlineStr">
        <is>
          <t>5〜6本</t>
        </is>
      </c>
      <c r="B49" s="15" t="n">
        <v>0.5600000000000001</v>
      </c>
    </row>
    <row r="50">
      <c r="A50" s="13" t="inlineStr">
        <is>
          <t>7〜15本</t>
        </is>
      </c>
      <c r="B50" s="15" t="n">
        <v>0.49</v>
      </c>
    </row>
    <row r="51">
      <c r="A51" s="13" t="inlineStr">
        <is>
          <t>16〜40本</t>
        </is>
      </c>
      <c r="B51" s="15" t="n">
        <v>0.43</v>
      </c>
    </row>
    <row r="52">
      <c r="A52" s="13" t="inlineStr">
        <is>
          <t>41〜60本</t>
        </is>
      </c>
      <c r="B52" s="15" t="n">
        <v>0.39</v>
      </c>
    </row>
    <row r="53">
      <c r="A53" s="13" t="inlineStr">
        <is>
          <t>61本以上</t>
        </is>
      </c>
      <c r="B53" s="15" t="n">
        <v>0.34</v>
      </c>
    </row>
    <row r="56">
      <c r="A56" s="12" t="inlineStr">
        <is>
          <t>⑤ 分岐回路（電技解釈 第149条）</t>
        </is>
      </c>
    </row>
    <row r="57" ht="32" customHeight="1">
      <c r="A57" s="5" t="inlineStr">
        <is>
          <t>過電流遮断器の定格</t>
        </is>
      </c>
      <c r="B57" s="5" t="inlineStr">
        <is>
          <t>電線の太さ</t>
        </is>
      </c>
      <c r="C57" s="5" t="inlineStr">
        <is>
          <t>コンセント定格</t>
        </is>
      </c>
    </row>
    <row r="58">
      <c r="A58" s="13" t="inlineStr">
        <is>
          <t>15A</t>
        </is>
      </c>
      <c r="B58" s="13" t="inlineStr">
        <is>
          <t>直径1.6mm以上</t>
        </is>
      </c>
      <c r="C58" s="13" t="inlineStr">
        <is>
          <t>15A以下</t>
        </is>
      </c>
    </row>
    <row r="59">
      <c r="A59" s="13" t="inlineStr">
        <is>
          <t>20A（配線用遮断器）</t>
        </is>
      </c>
      <c r="B59" s="13" t="inlineStr">
        <is>
          <t>直径1.6mm以上</t>
        </is>
      </c>
      <c r="C59" s="13" t="inlineStr">
        <is>
          <t>20A以下</t>
        </is>
      </c>
    </row>
    <row r="60">
      <c r="A60" s="13" t="inlineStr">
        <is>
          <t>20A（ヒューズ）</t>
        </is>
      </c>
      <c r="B60" s="13" t="inlineStr">
        <is>
          <t>直径2.0mm以上</t>
        </is>
      </c>
      <c r="C60" s="13" t="inlineStr">
        <is>
          <t>20A</t>
        </is>
      </c>
    </row>
    <row r="61">
      <c r="A61" s="13" t="inlineStr">
        <is>
          <t>30A</t>
        </is>
      </c>
      <c r="B61" s="13" t="inlineStr">
        <is>
          <t>直径2.6mm（5.5mm²）以上</t>
        </is>
      </c>
      <c r="C61" s="13" t="inlineStr">
        <is>
          <t>20A以上30A以下</t>
        </is>
      </c>
    </row>
    <row r="62">
      <c r="A62" s="13" t="inlineStr">
        <is>
          <t>40A</t>
        </is>
      </c>
      <c r="B62" s="13" t="inlineStr">
        <is>
          <t>8mm²以上</t>
        </is>
      </c>
      <c r="C62" s="13" t="inlineStr">
        <is>
          <t>30A以上40A以下</t>
        </is>
      </c>
    </row>
    <row r="63">
      <c r="A63" s="13" t="inlineStr">
        <is>
          <t>50A</t>
        </is>
      </c>
      <c r="B63" s="13" t="inlineStr">
        <is>
          <t>14mm²以上</t>
        </is>
      </c>
      <c r="C63" s="13" t="inlineStr">
        <is>
          <t>40A以上50A以下</t>
        </is>
      </c>
    </row>
    <row r="66">
      <c r="A66" s="12" t="inlineStr">
        <is>
          <t>⑥ 電圧降下の目安（内線規程 1310-1）</t>
        </is>
      </c>
    </row>
    <row r="67" ht="32" customHeight="1">
      <c r="A67" s="5" t="inlineStr">
        <is>
          <t>こう長</t>
        </is>
      </c>
      <c r="B67" s="5" t="inlineStr">
        <is>
          <t>低圧で受電</t>
        </is>
      </c>
      <c r="C67" s="5" t="inlineStr">
        <is>
          <t>変圧器から供給</t>
        </is>
      </c>
    </row>
    <row r="68">
      <c r="A68" s="13" t="inlineStr">
        <is>
          <t>60m以下</t>
        </is>
      </c>
      <c r="B68" s="16" t="n">
        <v>0.02</v>
      </c>
      <c r="C68" s="16" t="n">
        <v>0.03</v>
      </c>
    </row>
    <row r="69">
      <c r="A69" s="13" t="inlineStr">
        <is>
          <t>120m以下</t>
        </is>
      </c>
      <c r="B69" s="16" t="n">
        <v>0.04</v>
      </c>
      <c r="C69" s="16" t="n">
        <v>0.05</v>
      </c>
    </row>
    <row r="70">
      <c r="A70" s="13" t="inlineStr">
        <is>
          <t>200m以下</t>
        </is>
      </c>
      <c r="B70" s="16" t="n">
        <v>0.05</v>
      </c>
      <c r="C70" s="16" t="n">
        <v>0.06</v>
      </c>
    </row>
    <row r="71">
      <c r="A71" s="13" t="inlineStr">
        <is>
          <t>200m超過</t>
        </is>
      </c>
      <c r="B71" s="16" t="n">
        <v>0.06</v>
      </c>
      <c r="C71" s="16" t="n">
        <v>0.07000000000000001</v>
      </c>
    </row>
    <row r="73">
      <c r="A73" s="4" t="inlineStr">
        <is>
          <t>※こう長は供給点から最遠端の負荷までの電線のこう長。版により改定があるため最新版で確認してください。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2026-10-18T22:53:54Z</dcterms:created>
  <dcterms:modified xsi:type="dcterms:W3CDTF">2026-10-18T22:53:54Z</dcterms:modified>
</cp:coreProperties>
</file>